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7"/>
  <workbookPr defaultThemeVersion="166925"/>
  <mc:AlternateContent xmlns:mc="http://schemas.openxmlformats.org/markup-compatibility/2006">
    <mc:Choice Requires="x15">
      <x15ac:absPath xmlns:x15ac="http://schemas.microsoft.com/office/spreadsheetml/2010/11/ac" url="/Users/zdag/Desktop/"/>
    </mc:Choice>
  </mc:AlternateContent>
  <xr:revisionPtr revIDLastSave="11495" documentId="13_ncr:1_{37F9C940-EFEB-8E47-B5DC-0F9B5F8FA669}" xr6:coauthVersionLast="47" xr6:coauthVersionMax="47" xr10:uidLastSave="{749129E2-B164-4EF3-A8E9-C6A9AD21870C}"/>
  <bookViews>
    <workbookView xWindow="-20" yWindow="460" windowWidth="28800" windowHeight="16100" xr2:uid="{2B6E93AF-AD84-7748-AAFE-0EB4B9D556C8}"/>
  </bookViews>
  <sheets>
    <sheet name="Depressive episode" sheetId="1" r:id="rId1"/>
    <sheet name="Manic episode" sheetId="3" r:id="rId2"/>
    <sheet name="mixted symptoms" sheetId="6" r:id="rId3"/>
    <sheet name="Euthymics" sheetId="4" r:id="rId4"/>
    <sheet name="Controls" sheetId="2" r:id="rId5"/>
    <sheet name="Casos incompletos, raro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M10" i="5" l="1"/>
  <c r="BM11" i="5"/>
  <c r="BM12" i="5"/>
  <c r="BM13" i="5"/>
  <c r="BM14" i="5"/>
  <c r="BM15" i="5"/>
  <c r="BM17" i="5"/>
  <c r="BM18" i="5"/>
  <c r="BM19" i="5"/>
  <c r="BM20" i="5"/>
  <c r="BM21" i="5"/>
  <c r="BM22" i="5"/>
  <c r="BM23" i="5"/>
  <c r="BM24" i="5"/>
  <c r="BM25" i="5"/>
  <c r="BM26" i="5"/>
  <c r="BM27" i="5"/>
  <c r="BM28" i="5"/>
  <c r="BM29" i="5"/>
  <c r="BM30" i="5"/>
  <c r="BM31" i="5"/>
  <c r="BM32" i="5"/>
  <c r="BM33" i="5"/>
  <c r="BM34" i="5"/>
  <c r="BN16" i="3"/>
  <c r="BN17" i="3"/>
  <c r="BF16" i="3"/>
  <c r="BF17" i="3"/>
  <c r="BF18" i="3"/>
  <c r="BF19" i="3"/>
  <c r="BF20" i="3"/>
  <c r="BF21" i="3"/>
  <c r="BF22" i="3"/>
  <c r="BF23" i="3"/>
  <c r="BF24" i="3"/>
  <c r="BF25" i="3"/>
  <c r="BF26" i="3"/>
  <c r="AF10" i="4"/>
  <c r="AX12" i="1"/>
  <c r="AF11" i="1"/>
  <c r="AF12" i="1"/>
  <c r="AX26" i="2"/>
  <c r="AF26" i="2"/>
  <c r="AF27" i="2"/>
  <c r="FD10" i="1"/>
  <c r="FD11" i="1"/>
  <c r="FD12" i="1"/>
  <c r="FD13" i="1"/>
  <c r="EL10" i="1"/>
  <c r="EL11" i="1"/>
  <c r="AW12" i="5"/>
  <c r="AW13" i="5"/>
  <c r="AW14" i="5"/>
  <c r="AW15" i="5"/>
  <c r="AW16" i="5"/>
  <c r="AW17" i="5"/>
  <c r="AW18" i="5"/>
  <c r="AW19" i="5"/>
  <c r="AW20" i="5"/>
  <c r="AW21" i="5"/>
  <c r="AE10" i="5"/>
  <c r="AE11" i="5"/>
  <c r="AE12" i="5"/>
  <c r="AE13" i="5"/>
  <c r="AE14" i="5"/>
  <c r="AE15" i="5"/>
  <c r="AE16" i="5"/>
  <c r="AE17" i="5"/>
  <c r="AE18" i="5"/>
  <c r="AE19" i="5"/>
  <c r="AE20" i="5"/>
  <c r="AE21" i="5"/>
  <c r="AE22" i="5"/>
  <c r="AE23" i="5"/>
  <c r="AE24" i="5"/>
  <c r="AE25" i="5"/>
  <c r="AE26" i="5"/>
  <c r="AE27" i="5"/>
  <c r="BL12" i="5"/>
  <c r="BL13" i="5"/>
  <c r="BL14" i="5"/>
  <c r="BL15" i="5"/>
  <c r="BL16" i="5"/>
  <c r="BL17" i="5"/>
  <c r="BL18" i="5"/>
  <c r="BL19" i="5"/>
  <c r="BL20" i="5"/>
  <c r="BL21" i="5"/>
  <c r="BL22" i="5"/>
  <c r="BL23" i="5"/>
  <c r="BL24" i="5"/>
  <c r="BL25" i="5"/>
  <c r="BL26" i="5"/>
  <c r="BL27" i="5"/>
  <c r="BL28" i="5"/>
  <c r="BL29" i="5"/>
  <c r="BL30" i="5"/>
  <c r="BI10" i="5"/>
  <c r="BI11" i="5"/>
  <c r="BI12" i="5"/>
  <c r="BI13" i="5"/>
  <c r="BI14" i="5"/>
  <c r="BI15" i="5"/>
  <c r="BI16" i="5"/>
  <c r="BI17" i="5"/>
  <c r="BI18" i="5"/>
  <c r="BI19" i="5"/>
  <c r="BI20" i="5"/>
  <c r="BI21" i="5"/>
  <c r="BI22" i="5"/>
  <c r="BI23" i="5"/>
  <c r="BI24" i="5"/>
  <c r="BI25" i="5"/>
  <c r="BI26" i="5"/>
  <c r="BI27" i="5"/>
  <c r="BI28" i="5"/>
  <c r="BI29" i="5"/>
  <c r="BI30" i="5"/>
  <c r="BI31" i="5"/>
  <c r="BI32" i="5"/>
  <c r="BI33" i="5"/>
  <c r="BI34" i="5"/>
  <c r="BI35" i="5"/>
  <c r="BI36" i="5"/>
  <c r="BE10" i="5"/>
  <c r="BE11" i="5"/>
  <c r="BE12" i="5"/>
  <c r="BE13" i="5"/>
  <c r="BE14" i="5"/>
  <c r="BE15" i="5"/>
  <c r="BE16" i="5"/>
  <c r="BE17" i="5"/>
  <c r="BE18" i="5"/>
  <c r="BE19" i="5"/>
  <c r="BE20" i="5"/>
  <c r="BE21" i="5"/>
  <c r="BE22" i="5"/>
  <c r="BE23" i="5"/>
  <c r="BE24" i="5"/>
  <c r="BE25" i="5"/>
  <c r="BA10" i="5"/>
  <c r="BA11" i="5"/>
  <c r="BA12" i="5"/>
  <c r="BA13" i="5"/>
  <c r="BA14" i="5"/>
  <c r="BA15" i="5"/>
  <c r="BA16" i="5"/>
  <c r="BM16" i="5" s="1"/>
  <c r="BA17" i="5"/>
  <c r="BA18" i="5"/>
  <c r="BA19" i="5"/>
  <c r="BA20" i="5"/>
  <c r="BA21" i="5"/>
  <c r="BA22" i="5"/>
  <c r="BA23" i="5"/>
  <c r="BA24" i="5"/>
  <c r="BA25" i="5"/>
  <c r="BA26" i="5"/>
  <c r="BA27" i="5"/>
  <c r="BA28" i="5"/>
  <c r="BA29" i="5"/>
  <c r="BA30" i="5"/>
  <c r="BA31" i="5"/>
  <c r="BA32" i="5"/>
  <c r="BA33" i="5"/>
  <c r="BA34" i="5"/>
  <c r="BA35" i="5"/>
  <c r="BA36" i="5"/>
  <c r="BA37" i="5"/>
  <c r="FT9" i="1"/>
  <c r="FT11" i="1"/>
  <c r="FT12" i="1"/>
  <c r="FT13" i="1"/>
  <c r="FS9" i="1"/>
  <c r="FS10" i="1"/>
  <c r="FS11" i="1"/>
  <c r="FS12" i="1"/>
  <c r="FS13" i="1"/>
  <c r="FS14" i="1"/>
  <c r="FS15" i="1"/>
  <c r="FP9" i="1"/>
  <c r="FP10" i="1"/>
  <c r="FP11" i="1"/>
  <c r="FP12" i="1"/>
  <c r="FP13" i="1"/>
  <c r="FP14" i="1"/>
  <c r="FP15" i="1"/>
  <c r="FP16" i="1"/>
  <c r="FP17" i="1"/>
  <c r="FL9" i="1"/>
  <c r="FL10" i="1"/>
  <c r="FL11" i="1"/>
  <c r="FH8" i="1"/>
  <c r="FH9" i="1"/>
  <c r="FH10" i="1"/>
  <c r="FT10" i="1" s="1"/>
  <c r="FH11" i="1"/>
  <c r="BM25" i="2"/>
  <c r="BM26" i="2"/>
  <c r="BM27" i="2"/>
  <c r="BJ25" i="2"/>
  <c r="BJ26" i="2"/>
  <c r="BF25" i="2"/>
  <c r="BF26" i="2"/>
  <c r="BF27" i="2"/>
  <c r="BB25" i="2"/>
  <c r="BB26" i="2"/>
  <c r="AX22" i="2"/>
  <c r="AX23" i="2"/>
  <c r="AX24" i="2"/>
  <c r="AX25" i="2"/>
  <c r="BM24" i="2"/>
  <c r="BJ24" i="2"/>
  <c r="BF24" i="2"/>
  <c r="BB24" i="2"/>
  <c r="AF24" i="2"/>
  <c r="AF25" i="2"/>
  <c r="AF9" i="4"/>
  <c r="AF11" i="4"/>
  <c r="AX7" i="4"/>
  <c r="AX8" i="4"/>
  <c r="AX9" i="4"/>
  <c r="AX10" i="4"/>
  <c r="AX11" i="4"/>
  <c r="AX12" i="4"/>
  <c r="AX13" i="4"/>
  <c r="DM14" i="3"/>
  <c r="DM15" i="3"/>
  <c r="DM16" i="3"/>
  <c r="AF7" i="4"/>
  <c r="AF8" i="4"/>
  <c r="AF14" i="3"/>
  <c r="AF15" i="3"/>
  <c r="AF16" i="3"/>
  <c r="AF17" i="3"/>
  <c r="AF18" i="3"/>
  <c r="AF19" i="3"/>
  <c r="BB14" i="3"/>
  <c r="BB15" i="3"/>
  <c r="BB16" i="3"/>
  <c r="BB17" i="3"/>
  <c r="BB18" i="3"/>
  <c r="BB19" i="3"/>
  <c r="BB20" i="3"/>
  <c r="BB21" i="3"/>
  <c r="BB22" i="3"/>
  <c r="BB23" i="3"/>
  <c r="BB24" i="3"/>
  <c r="BB25" i="3"/>
  <c r="AX14" i="3"/>
  <c r="AX15" i="3"/>
  <c r="AX16" i="3"/>
  <c r="AX17" i="3"/>
  <c r="AX18" i="3"/>
  <c r="AX19" i="3"/>
  <c r="AX20" i="3"/>
  <c r="AX21" i="3"/>
  <c r="AX20" i="2"/>
  <c r="AX21" i="2"/>
  <c r="BN20" i="2"/>
  <c r="BN21" i="2"/>
  <c r="BN24" i="2"/>
  <c r="BN26" i="2"/>
  <c r="BN27" i="2"/>
  <c r="BN28" i="2"/>
  <c r="BM20" i="2"/>
  <c r="BM21" i="2"/>
  <c r="BM22" i="2"/>
  <c r="BM23" i="2"/>
  <c r="BJ19" i="2"/>
  <c r="BJ20" i="2"/>
  <c r="BJ21" i="2"/>
  <c r="BJ22" i="2"/>
  <c r="BJ23" i="2"/>
  <c r="BJ27" i="2"/>
  <c r="BF18" i="2"/>
  <c r="BF19" i="2"/>
  <c r="BF20" i="2"/>
  <c r="BF21" i="2"/>
  <c r="BF22" i="2"/>
  <c r="BF23" i="2"/>
  <c r="BF28" i="2"/>
  <c r="BF29" i="2"/>
  <c r="BB18" i="2"/>
  <c r="BB19" i="2"/>
  <c r="BB20" i="2"/>
  <c r="BB21" i="2"/>
  <c r="BB22" i="2"/>
  <c r="BN22" i="2" s="1"/>
  <c r="BB23" i="2"/>
  <c r="BN23" i="2" s="1"/>
  <c r="BN25" i="2"/>
  <c r="BB27" i="2"/>
  <c r="BB28" i="2"/>
  <c r="BB29" i="2"/>
  <c r="BB30" i="2"/>
  <c r="BJ13" i="3"/>
  <c r="BJ14" i="3"/>
  <c r="BJ15" i="3"/>
  <c r="BJ16" i="3"/>
  <c r="BJ17" i="3"/>
  <c r="DQ14" i="3"/>
  <c r="DQ16" i="3"/>
  <c r="DQ17" i="3"/>
  <c r="DQ18" i="3"/>
  <c r="DA14" i="3"/>
  <c r="DA15" i="3"/>
  <c r="DQ10" i="1"/>
  <c r="DQ13" i="1"/>
  <c r="DQ14" i="1"/>
  <c r="DQ15" i="1"/>
  <c r="DQ16" i="1"/>
  <c r="DQ17" i="1"/>
  <c r="DP9" i="1"/>
  <c r="DP10" i="1"/>
  <c r="DP11" i="1"/>
  <c r="DP12" i="1"/>
  <c r="DP13" i="1"/>
  <c r="DP14" i="1"/>
  <c r="DP15" i="1"/>
  <c r="DP16" i="1"/>
  <c r="DP17" i="1"/>
  <c r="DP18" i="1"/>
  <c r="DP19" i="1"/>
  <c r="DM10" i="1"/>
  <c r="DM11" i="1"/>
  <c r="DM12" i="1"/>
  <c r="DM13" i="1"/>
  <c r="DM14" i="1"/>
  <c r="DM15" i="1"/>
  <c r="DM16" i="1"/>
  <c r="DM17" i="1"/>
  <c r="DM18" i="1"/>
  <c r="DI10" i="1"/>
  <c r="DI11" i="1"/>
  <c r="DI12" i="1"/>
  <c r="DI13" i="1"/>
  <c r="DI14" i="1"/>
  <c r="DI15" i="1"/>
  <c r="DI16" i="1"/>
  <c r="DI17" i="1"/>
  <c r="DI18" i="1"/>
  <c r="DI19" i="1"/>
  <c r="DI20" i="1"/>
  <c r="DI21" i="1"/>
  <c r="DE9" i="1"/>
  <c r="DE10" i="1"/>
  <c r="DE11" i="1"/>
  <c r="DQ11" i="1" s="1"/>
  <c r="DE12" i="1"/>
  <c r="DQ12" i="1" s="1"/>
  <c r="DE13" i="1"/>
  <c r="DE14" i="1"/>
  <c r="DE15" i="1"/>
  <c r="DE16" i="1"/>
  <c r="DE17" i="1"/>
  <c r="DE18" i="1"/>
  <c r="DE19" i="1"/>
  <c r="DE20" i="1"/>
  <c r="DE21" i="1"/>
  <c r="DE22" i="1"/>
  <c r="DE23" i="1"/>
  <c r="DE24" i="1"/>
  <c r="DE25" i="1"/>
  <c r="DE26" i="1"/>
  <c r="DE27" i="1"/>
  <c r="DE28" i="1"/>
  <c r="DE29" i="1"/>
  <c r="DE30" i="1"/>
  <c r="DE31" i="1"/>
  <c r="DA9" i="1"/>
  <c r="DA10" i="1"/>
  <c r="DA11" i="1"/>
  <c r="DA12" i="1"/>
  <c r="DA13" i="1"/>
  <c r="DA14" i="1"/>
  <c r="CI9" i="1"/>
  <c r="CI10" i="1"/>
  <c r="CI12" i="1"/>
  <c r="CI13" i="1"/>
  <c r="CI14" i="1"/>
  <c r="FT10" i="3"/>
  <c r="FT11" i="3"/>
  <c r="FT12" i="3"/>
  <c r="FT13" i="3"/>
  <c r="FT14" i="3"/>
  <c r="FT15" i="3"/>
  <c r="FT16" i="3"/>
  <c r="FT17" i="3"/>
  <c r="FS10" i="3"/>
  <c r="FS11" i="3"/>
  <c r="FS12" i="3"/>
  <c r="FP8" i="3"/>
  <c r="FP9" i="3"/>
  <c r="FP10" i="3"/>
  <c r="FP11" i="3"/>
  <c r="FP12" i="3"/>
  <c r="FP13" i="3"/>
  <c r="FP14" i="3"/>
  <c r="FP15" i="3"/>
  <c r="FP16" i="3"/>
  <c r="FP17" i="3"/>
  <c r="FP18" i="3"/>
  <c r="FP19" i="3"/>
  <c r="FP20" i="3"/>
  <c r="FP21" i="3"/>
  <c r="FP22" i="3"/>
  <c r="FP23" i="3"/>
  <c r="FL8" i="3"/>
  <c r="FL9" i="3"/>
  <c r="FL10" i="3"/>
  <c r="FL11" i="3"/>
  <c r="FL12" i="3"/>
  <c r="FL13" i="3"/>
  <c r="FL14" i="3"/>
  <c r="FL15" i="3"/>
  <c r="FL16" i="3"/>
  <c r="FL17" i="3"/>
  <c r="FH7" i="3"/>
  <c r="FH8" i="3"/>
  <c r="FH9" i="3"/>
  <c r="FH10" i="3"/>
  <c r="FH11" i="3"/>
  <c r="FH12" i="3"/>
  <c r="FH13" i="3"/>
  <c r="FH14" i="3"/>
  <c r="GO3" i="6"/>
  <c r="BM9" i="1"/>
  <c r="BM10" i="1"/>
  <c r="BM11" i="1"/>
  <c r="BM12" i="1"/>
  <c r="BM13" i="1"/>
  <c r="BM14" i="1"/>
  <c r="BM15" i="1"/>
  <c r="BJ9" i="1"/>
  <c r="BJ10" i="1"/>
  <c r="BJ11" i="1"/>
  <c r="BJ12" i="1"/>
  <c r="BJ13" i="1"/>
  <c r="BJ14" i="1"/>
  <c r="BJ15" i="1"/>
  <c r="BJ16" i="1"/>
  <c r="BF10" i="1"/>
  <c r="BF11" i="1"/>
  <c r="BF12" i="1"/>
  <c r="BF13" i="1"/>
  <c r="BN13" i="1" s="1"/>
  <c r="BF14" i="1"/>
  <c r="BN14" i="1" s="1"/>
  <c r="BF15" i="1"/>
  <c r="BN15" i="1" s="1"/>
  <c r="BB10" i="1"/>
  <c r="BN10" i="1" s="1"/>
  <c r="BB11" i="1"/>
  <c r="BN11" i="1" s="1"/>
  <c r="BB12" i="1"/>
  <c r="BN12" i="1" s="1"/>
  <c r="BM5" i="4"/>
  <c r="BM6" i="4"/>
  <c r="BM7" i="4"/>
  <c r="BM8" i="4"/>
  <c r="BM9" i="4"/>
  <c r="BM10" i="4"/>
  <c r="BM11" i="4"/>
  <c r="BM12" i="4"/>
  <c r="BJ5" i="4"/>
  <c r="BJ6" i="4"/>
  <c r="BJ7" i="4"/>
  <c r="BJ8" i="4"/>
  <c r="BJ9" i="4"/>
  <c r="BJ10" i="4"/>
  <c r="BJ11" i="4"/>
  <c r="BJ12" i="4"/>
  <c r="BJ13" i="4"/>
  <c r="BF5" i="4"/>
  <c r="BF6" i="4"/>
  <c r="BF7" i="4"/>
  <c r="BF8" i="4"/>
  <c r="BF9" i="4"/>
  <c r="BF10" i="4"/>
  <c r="BF11" i="4"/>
  <c r="BF12" i="4"/>
  <c r="BF13" i="4"/>
  <c r="BB5" i="4"/>
  <c r="BN5" i="4" s="1"/>
  <c r="BB6" i="4"/>
  <c r="BN6" i="4" s="1"/>
  <c r="BB7" i="4"/>
  <c r="BN7" i="4" s="1"/>
  <c r="BB8" i="4"/>
  <c r="BN8" i="4" s="1"/>
  <c r="BB9" i="4"/>
  <c r="BN9" i="4" s="1"/>
  <c r="BB10" i="4"/>
  <c r="BN10" i="4" s="1"/>
  <c r="BB11" i="4"/>
  <c r="BN11" i="4" s="1"/>
  <c r="BB12" i="4"/>
  <c r="BB13" i="4"/>
  <c r="BB14" i="4"/>
  <c r="BB15" i="4"/>
  <c r="BB16" i="4"/>
  <c r="AF5" i="4"/>
  <c r="AF6" i="4"/>
  <c r="AX5" i="4"/>
  <c r="AX6" i="4"/>
  <c r="AX10" i="1"/>
  <c r="AX11" i="1"/>
  <c r="AF10" i="1"/>
  <c r="DP12" i="3"/>
  <c r="DP13" i="3"/>
  <c r="DP14" i="3"/>
  <c r="DP15" i="3"/>
  <c r="DP16" i="3"/>
  <c r="DM12" i="3"/>
  <c r="DM13" i="3"/>
  <c r="DA12" i="3"/>
  <c r="DA13" i="3"/>
  <c r="CI12" i="3"/>
  <c r="CI13" i="3"/>
  <c r="CI14" i="3"/>
  <c r="CI15" i="3"/>
  <c r="CI16" i="3"/>
  <c r="FL7" i="3"/>
  <c r="FP7" i="3"/>
  <c r="FS7" i="3"/>
  <c r="FS8" i="3"/>
  <c r="FS6" i="3"/>
  <c r="FD7" i="3"/>
  <c r="FD8" i="3"/>
  <c r="EL7" i="3"/>
  <c r="EL8" i="3"/>
  <c r="AF18" i="2"/>
  <c r="AF19" i="2"/>
  <c r="AF20" i="2"/>
  <c r="AF21" i="2"/>
  <c r="BM11" i="3"/>
  <c r="BM12" i="3"/>
  <c r="BM13" i="3"/>
  <c r="BM14" i="3"/>
  <c r="BM15" i="3"/>
  <c r="BM16" i="3"/>
  <c r="BM17" i="3"/>
  <c r="BJ11" i="3"/>
  <c r="BJ12" i="3"/>
  <c r="BF11" i="3"/>
  <c r="BF12" i="3"/>
  <c r="BF13" i="3"/>
  <c r="BF14" i="3"/>
  <c r="BF15" i="3"/>
  <c r="BN15" i="3" s="1"/>
  <c r="BB10" i="3"/>
  <c r="BB11" i="3"/>
  <c r="BN11" i="3" s="1"/>
  <c r="BB12" i="3"/>
  <c r="BN12" i="3" s="1"/>
  <c r="BB13" i="3"/>
  <c r="BN13" i="3" s="1"/>
  <c r="BN14" i="3"/>
  <c r="AX12" i="3"/>
  <c r="AX13" i="3"/>
  <c r="AF12" i="3"/>
  <c r="AF13" i="3"/>
  <c r="DP9" i="3"/>
  <c r="DP10" i="3"/>
  <c r="DP11" i="3"/>
  <c r="DM9" i="3"/>
  <c r="DM10" i="3"/>
  <c r="DM11" i="3"/>
  <c r="DI10" i="3"/>
  <c r="DI11" i="3"/>
  <c r="DI12" i="3"/>
  <c r="DI13" i="3"/>
  <c r="DI14" i="3"/>
  <c r="DI15" i="3"/>
  <c r="DI16" i="3"/>
  <c r="DI17" i="3"/>
  <c r="DE10" i="3"/>
  <c r="DQ10" i="3" s="1"/>
  <c r="DE11" i="3"/>
  <c r="DQ11" i="3" s="1"/>
  <c r="DE12" i="3"/>
  <c r="DQ12" i="3" s="1"/>
  <c r="DE13" i="3"/>
  <c r="DQ13" i="3" s="1"/>
  <c r="DE14" i="3"/>
  <c r="DE15" i="3"/>
  <c r="DQ15" i="3" s="1"/>
  <c r="DE16" i="3"/>
  <c r="DE17" i="3"/>
  <c r="DE18" i="3"/>
  <c r="DE19" i="3"/>
  <c r="FD11" i="3"/>
  <c r="EL11" i="3"/>
  <c r="DA11" i="3"/>
  <c r="CI11" i="3"/>
  <c r="AX11" i="3"/>
  <c r="AF11" i="3"/>
  <c r="DA10" i="3"/>
  <c r="CI10" i="3"/>
  <c r="BM10" i="3"/>
  <c r="BJ10" i="3"/>
  <c r="BF10" i="3"/>
  <c r="BN10" i="3"/>
  <c r="AX10" i="3"/>
  <c r="AF10" i="3"/>
  <c r="HS9" i="3"/>
  <c r="HO9" i="3"/>
  <c r="HW9" i="3" s="1"/>
  <c r="FS9" i="3"/>
  <c r="FT9" i="3"/>
  <c r="FD9" i="3"/>
  <c r="EL9" i="3"/>
  <c r="DI9" i="3"/>
  <c r="DE9" i="3"/>
  <c r="DQ9" i="3" s="1"/>
  <c r="DA9" i="3"/>
  <c r="CI9" i="3"/>
  <c r="BM9" i="3"/>
  <c r="BJ9" i="3"/>
  <c r="BF9" i="3"/>
  <c r="BB9" i="3"/>
  <c r="BN9" i="3" s="1"/>
  <c r="AX9" i="3"/>
  <c r="AF9" i="3"/>
  <c r="DP8" i="3"/>
  <c r="DM8" i="3"/>
  <c r="DI8" i="3"/>
  <c r="DE8" i="3"/>
  <c r="DQ8" i="3" s="1"/>
  <c r="DA8" i="3"/>
  <c r="CI8" i="3"/>
  <c r="BM8" i="3"/>
  <c r="BJ8" i="3"/>
  <c r="BF8" i="3"/>
  <c r="BB8" i="3"/>
  <c r="BN8" i="3" s="1"/>
  <c r="AX8" i="3"/>
  <c r="AF8" i="3"/>
  <c r="DP7" i="3"/>
  <c r="DM7" i="3"/>
  <c r="DI7" i="3"/>
  <c r="DE7" i="3"/>
  <c r="DQ7" i="3" s="1"/>
  <c r="DA7" i="3"/>
  <c r="CI7" i="3"/>
  <c r="BM7" i="3"/>
  <c r="BJ7" i="3"/>
  <c r="BF7" i="3"/>
  <c r="BB7" i="3"/>
  <c r="BN7" i="3" s="1"/>
  <c r="AX7" i="3"/>
  <c r="AF7" i="3"/>
  <c r="HV3" i="6"/>
  <c r="HS3" i="6"/>
  <c r="HO3" i="6"/>
  <c r="HK3" i="6"/>
  <c r="HW3" i="6" s="1"/>
  <c r="HG3" i="6"/>
  <c r="FS3" i="6"/>
  <c r="FP3" i="6"/>
  <c r="FL3" i="6"/>
  <c r="FH3" i="6"/>
  <c r="FT3" i="6" s="1"/>
  <c r="FD3" i="6"/>
  <c r="EL3" i="6"/>
  <c r="DP3" i="6"/>
  <c r="DM3" i="6"/>
  <c r="DE3" i="6"/>
  <c r="DQ3" i="6" s="1"/>
  <c r="DA3" i="6"/>
  <c r="CI3" i="6"/>
  <c r="BM3" i="6"/>
  <c r="BJ3" i="6"/>
  <c r="BF3" i="6"/>
  <c r="BB3" i="6"/>
  <c r="BN3" i="6" s="1"/>
  <c r="AX3" i="6"/>
  <c r="AF3" i="6"/>
  <c r="HV6" i="3"/>
  <c r="HS6" i="3"/>
  <c r="HO6" i="3"/>
  <c r="HK6" i="3"/>
  <c r="HW6" i="3" s="1"/>
  <c r="HG6" i="3"/>
  <c r="FP6" i="3"/>
  <c r="FL6" i="3"/>
  <c r="FH6" i="3"/>
  <c r="FT6" i="3" s="1"/>
  <c r="FD6" i="3"/>
  <c r="EL6" i="3"/>
  <c r="DP6" i="3"/>
  <c r="DM6" i="3"/>
  <c r="DI6" i="3"/>
  <c r="DE6" i="3"/>
  <c r="DQ6" i="3" s="1"/>
  <c r="DA6" i="3"/>
  <c r="CI6" i="3"/>
  <c r="BM6" i="3"/>
  <c r="BJ6" i="3"/>
  <c r="BF6" i="3"/>
  <c r="BB6" i="3"/>
  <c r="BN6" i="3" s="1"/>
  <c r="AX6" i="3"/>
  <c r="AF6" i="3"/>
  <c r="HV5" i="3"/>
  <c r="HS5" i="3"/>
  <c r="HO5" i="3"/>
  <c r="HK5" i="3"/>
  <c r="HW5" i="3" s="1"/>
  <c r="HG5" i="3"/>
  <c r="GO5" i="3"/>
  <c r="DP5" i="3"/>
  <c r="DM5" i="3"/>
  <c r="DI5" i="3"/>
  <c r="DE5" i="3"/>
  <c r="DQ5" i="3" s="1"/>
  <c r="DA5" i="3"/>
  <c r="CI5" i="3"/>
  <c r="BM5" i="3"/>
  <c r="BJ5" i="3"/>
  <c r="BF5" i="3"/>
  <c r="BB5" i="3"/>
  <c r="BN5" i="3" s="1"/>
  <c r="AX5" i="3"/>
  <c r="AF5" i="3"/>
  <c r="HV2" i="6"/>
  <c r="HS2" i="6"/>
  <c r="HO2" i="6"/>
  <c r="HK2" i="6"/>
  <c r="HW2" i="6" s="1"/>
  <c r="HG2" i="6"/>
  <c r="GO2" i="6"/>
  <c r="FS2" i="6"/>
  <c r="FP2" i="6"/>
  <c r="FL2" i="6"/>
  <c r="FH2" i="6"/>
  <c r="FT2" i="6" s="1"/>
  <c r="FD2" i="6"/>
  <c r="EL2" i="6"/>
  <c r="DP2" i="6"/>
  <c r="DM2" i="6"/>
  <c r="DI2" i="6"/>
  <c r="DE2" i="6"/>
  <c r="DQ2" i="6" s="1"/>
  <c r="DA2" i="6"/>
  <c r="CI2" i="6"/>
  <c r="BM2" i="6"/>
  <c r="BJ2" i="6"/>
  <c r="BF2" i="6"/>
  <c r="BB2" i="6"/>
  <c r="BN2" i="6" s="1"/>
  <c r="AX2" i="6"/>
  <c r="AF2" i="6"/>
  <c r="HV4" i="3"/>
  <c r="HS4" i="3"/>
  <c r="HO4" i="3"/>
  <c r="HK4" i="3"/>
  <c r="HW4" i="3" s="1"/>
  <c r="HG4" i="3"/>
  <c r="GO4" i="3"/>
  <c r="FS4" i="3"/>
  <c r="FP4" i="3"/>
  <c r="FL4" i="3"/>
  <c r="FH4" i="3"/>
  <c r="FT4" i="3" s="1"/>
  <c r="FD4" i="3"/>
  <c r="EL4" i="3"/>
  <c r="DP4" i="3"/>
  <c r="DM4" i="3"/>
  <c r="DI4" i="3"/>
  <c r="DE4" i="3"/>
  <c r="DQ4" i="3" s="1"/>
  <c r="DA4" i="3"/>
  <c r="CI4" i="3"/>
  <c r="BM4" i="3"/>
  <c r="BJ4" i="3"/>
  <c r="BF4" i="3"/>
  <c r="BB4" i="3"/>
  <c r="BN4" i="3" s="1"/>
  <c r="AX4" i="3"/>
  <c r="AF4" i="3"/>
  <c r="HV3" i="3"/>
  <c r="HS3" i="3"/>
  <c r="HO3" i="3"/>
  <c r="HK3" i="3"/>
  <c r="HW3" i="3" s="1"/>
  <c r="HG3" i="3"/>
  <c r="GO3" i="3"/>
  <c r="FS3" i="3"/>
  <c r="FP3" i="3"/>
  <c r="FL3" i="3"/>
  <c r="FH3" i="3"/>
  <c r="FT3" i="3" s="1"/>
  <c r="FD3" i="3"/>
  <c r="EL3" i="3"/>
  <c r="DP3" i="3"/>
  <c r="DM3" i="3"/>
  <c r="DI3" i="3"/>
  <c r="DE3" i="3"/>
  <c r="DQ3" i="3" s="1"/>
  <c r="DA3" i="3"/>
  <c r="CI3" i="3"/>
  <c r="BM3" i="3"/>
  <c r="BJ3" i="3"/>
  <c r="BF3" i="3"/>
  <c r="BB3" i="3"/>
  <c r="BN3" i="3" s="1"/>
  <c r="AX3" i="3"/>
  <c r="AF3" i="3"/>
  <c r="HV2" i="3"/>
  <c r="HS2" i="3"/>
  <c r="HO2" i="3"/>
  <c r="HK2" i="3"/>
  <c r="HW2" i="3" s="1"/>
  <c r="HG2" i="3"/>
  <c r="GO2" i="3"/>
  <c r="FS2" i="3"/>
  <c r="FP2" i="3"/>
  <c r="FL2" i="3"/>
  <c r="FH2" i="3"/>
  <c r="FT2" i="3" s="1"/>
  <c r="FD2" i="3"/>
  <c r="EL2" i="3"/>
  <c r="DP2" i="3"/>
  <c r="DM2" i="3"/>
  <c r="DI2" i="3"/>
  <c r="DE2" i="3"/>
  <c r="DQ2" i="3" s="1"/>
  <c r="DA2" i="3"/>
  <c r="CI2" i="3"/>
  <c r="BM2" i="3"/>
  <c r="BJ2" i="3"/>
  <c r="BF2" i="3"/>
  <c r="BB2" i="3"/>
  <c r="BN2" i="3" s="1"/>
  <c r="AX2" i="3"/>
  <c r="AF2" i="3"/>
  <c r="DN11" i="5"/>
  <c r="DK11" i="5"/>
  <c r="DG11" i="5"/>
  <c r="DC11" i="5"/>
  <c r="DO11" i="5" s="1"/>
  <c r="BL11" i="5"/>
  <c r="AW11" i="5"/>
  <c r="HO10" i="5"/>
  <c r="DN10" i="5"/>
  <c r="DK10" i="5"/>
  <c r="DG10" i="5"/>
  <c r="DC10" i="5"/>
  <c r="DO10" i="5" s="1"/>
  <c r="BL10" i="5"/>
  <c r="AW10" i="5"/>
  <c r="HO9" i="5"/>
  <c r="FM9" i="5"/>
  <c r="EI9" i="5"/>
  <c r="DN9" i="5"/>
  <c r="DK9" i="5"/>
  <c r="DG9" i="5"/>
  <c r="DC9" i="5"/>
  <c r="DO9" i="5" s="1"/>
  <c r="CY9" i="5"/>
  <c r="BL9" i="5"/>
  <c r="BI9" i="5"/>
  <c r="BE9" i="5"/>
  <c r="BA9" i="5"/>
  <c r="BM9" i="5" s="1"/>
  <c r="AW9" i="5"/>
  <c r="AE9" i="5"/>
  <c r="HO8" i="5"/>
  <c r="HC8" i="5"/>
  <c r="GK8" i="5"/>
  <c r="FP8" i="5"/>
  <c r="FM8" i="5"/>
  <c r="FI8" i="5"/>
  <c r="FE8" i="5"/>
  <c r="FQ8" i="5" s="1"/>
  <c r="FA8" i="5"/>
  <c r="EI8" i="5"/>
  <c r="DN8" i="5"/>
  <c r="DK8" i="5"/>
  <c r="DG8" i="5"/>
  <c r="DC8" i="5"/>
  <c r="DO8" i="5" s="1"/>
  <c r="CY8" i="5"/>
  <c r="CG8" i="5"/>
  <c r="BL8" i="5"/>
  <c r="BI8" i="5"/>
  <c r="BE8" i="5"/>
  <c r="BA8" i="5"/>
  <c r="BM8" i="5" s="1"/>
  <c r="AW8" i="5"/>
  <c r="AE8" i="5"/>
  <c r="HO7" i="5"/>
  <c r="HK7" i="5"/>
  <c r="HC7" i="5"/>
  <c r="GK7" i="5"/>
  <c r="FP7" i="5"/>
  <c r="FM7" i="5"/>
  <c r="FI7" i="5"/>
  <c r="FE7" i="5"/>
  <c r="FQ7" i="5" s="1"/>
  <c r="FA7" i="5"/>
  <c r="EI7" i="5"/>
  <c r="DN7" i="5"/>
  <c r="DK7" i="5"/>
  <c r="DG7" i="5"/>
  <c r="DC7" i="5"/>
  <c r="DO7" i="5" s="1"/>
  <c r="CY7" i="5"/>
  <c r="CG7" i="5"/>
  <c r="BL7" i="5"/>
  <c r="BI7" i="5"/>
  <c r="BE7" i="5"/>
  <c r="BA7" i="5"/>
  <c r="BM7" i="5" s="1"/>
  <c r="AW7" i="5"/>
  <c r="AE7" i="5"/>
  <c r="HO6" i="5"/>
  <c r="HK6" i="5"/>
  <c r="HS6" i="5" s="1"/>
  <c r="HC6" i="5"/>
  <c r="GK6" i="5"/>
  <c r="FP6" i="5"/>
  <c r="FM6" i="5"/>
  <c r="FI6" i="5"/>
  <c r="FE6" i="5"/>
  <c r="FQ6" i="5" s="1"/>
  <c r="FA6" i="5"/>
  <c r="EI6" i="5"/>
  <c r="DN6" i="5"/>
  <c r="DK6" i="5"/>
  <c r="DG6" i="5"/>
  <c r="DC6" i="5"/>
  <c r="DO6" i="5" s="1"/>
  <c r="CY6" i="5"/>
  <c r="CG6" i="5"/>
  <c r="BL6" i="5"/>
  <c r="BI6" i="5"/>
  <c r="BE6" i="5"/>
  <c r="BA6" i="5"/>
  <c r="BM6" i="5" s="1"/>
  <c r="AW6" i="5"/>
  <c r="AE6" i="5"/>
  <c r="HR5" i="5"/>
  <c r="HO5" i="5"/>
  <c r="HK5" i="5"/>
  <c r="HG5" i="5"/>
  <c r="HS5" i="5" s="1"/>
  <c r="HC5" i="5"/>
  <c r="GK5" i="5"/>
  <c r="FP5" i="5"/>
  <c r="FM5" i="5"/>
  <c r="FI5" i="5"/>
  <c r="FE5" i="5"/>
  <c r="FQ5" i="5" s="1"/>
  <c r="FA5" i="5"/>
  <c r="EI5" i="5"/>
  <c r="DN5" i="5"/>
  <c r="DK5" i="5"/>
  <c r="DG5" i="5"/>
  <c r="DC5" i="5"/>
  <c r="DO5" i="5" s="1"/>
  <c r="CY5" i="5"/>
  <c r="CG5" i="5"/>
  <c r="BL5" i="5"/>
  <c r="BI5" i="5"/>
  <c r="BE5" i="5"/>
  <c r="BA5" i="5"/>
  <c r="BM5" i="5" s="1"/>
  <c r="AW5" i="5"/>
  <c r="AE5" i="5"/>
  <c r="HR4" i="5"/>
  <c r="HO4" i="5"/>
  <c r="HK4" i="5"/>
  <c r="HG4" i="5"/>
  <c r="HS4" i="5" s="1"/>
  <c r="HC4" i="5"/>
  <c r="GK4" i="5"/>
  <c r="FP4" i="5"/>
  <c r="FM4" i="5"/>
  <c r="FI4" i="5"/>
  <c r="FE4" i="5"/>
  <c r="FQ4" i="5" s="1"/>
  <c r="FA4" i="5"/>
  <c r="EI4" i="5"/>
  <c r="DN4" i="5"/>
  <c r="DK4" i="5"/>
  <c r="DG4" i="5"/>
  <c r="DC4" i="5"/>
  <c r="DO4" i="5" s="1"/>
  <c r="CY4" i="5"/>
  <c r="CG4" i="5"/>
  <c r="BL4" i="5"/>
  <c r="BI4" i="5"/>
  <c r="BE4" i="5"/>
  <c r="BA4" i="5"/>
  <c r="BM4" i="5" s="1"/>
  <c r="AW4" i="5"/>
  <c r="AE4" i="5"/>
  <c r="HR3" i="5"/>
  <c r="HO3" i="5"/>
  <c r="HK3" i="5"/>
  <c r="HG3" i="5"/>
  <c r="HS3" i="5" s="1"/>
  <c r="HC3" i="5"/>
  <c r="GK3" i="5"/>
  <c r="FP3" i="5"/>
  <c r="FM3" i="5"/>
  <c r="FI3" i="5"/>
  <c r="FE3" i="5"/>
  <c r="FQ3" i="5" s="1"/>
  <c r="FA3" i="5"/>
  <c r="EI3" i="5"/>
  <c r="DN3" i="5"/>
  <c r="DK3" i="5"/>
  <c r="DG3" i="5"/>
  <c r="DC3" i="5"/>
  <c r="DO3" i="5" s="1"/>
  <c r="CY3" i="5"/>
  <c r="CG3" i="5"/>
  <c r="BL3" i="5"/>
  <c r="BI3" i="5"/>
  <c r="BE3" i="5"/>
  <c r="BA3" i="5"/>
  <c r="BM3" i="5" s="1"/>
  <c r="AW3" i="5"/>
  <c r="AE3" i="5"/>
  <c r="BM2" i="4"/>
  <c r="BJ2" i="4"/>
  <c r="BF2" i="4"/>
  <c r="BB2" i="4"/>
  <c r="BN2" i="4" s="1"/>
  <c r="AX2" i="4"/>
  <c r="AF2" i="4"/>
  <c r="BM4" i="4"/>
  <c r="BJ4" i="4"/>
  <c r="BF4" i="4"/>
  <c r="BB4" i="4"/>
  <c r="BN4" i="4" s="1"/>
  <c r="AX4" i="4"/>
  <c r="AF4" i="4"/>
  <c r="BM3" i="4"/>
  <c r="BJ3" i="4"/>
  <c r="BF3" i="4"/>
  <c r="BB3" i="4"/>
  <c r="BN3" i="4" s="1"/>
  <c r="AX3" i="4"/>
  <c r="AF3" i="4"/>
  <c r="BM19" i="2"/>
  <c r="BN19" i="2"/>
  <c r="AX19" i="2"/>
  <c r="BM18" i="2"/>
  <c r="BJ18" i="2"/>
  <c r="BN18" i="2"/>
  <c r="AX18" i="2"/>
  <c r="BM17" i="2"/>
  <c r="BJ17" i="2"/>
  <c r="BF17" i="2"/>
  <c r="BB17" i="2"/>
  <c r="BN17" i="2" s="1"/>
  <c r="AX17" i="2"/>
  <c r="AF17" i="2"/>
  <c r="BM16" i="2"/>
  <c r="BJ16" i="2"/>
  <c r="BF16" i="2"/>
  <c r="BB16" i="2"/>
  <c r="BN16" i="2" s="1"/>
  <c r="AX16" i="2"/>
  <c r="BM15" i="2"/>
  <c r="BJ15" i="2"/>
  <c r="BF15" i="2"/>
  <c r="BB15" i="2"/>
  <c r="BN15" i="2" s="1"/>
  <c r="AX15" i="2"/>
  <c r="AF15" i="2"/>
  <c r="BM14" i="2"/>
  <c r="BJ14" i="2"/>
  <c r="BF14" i="2"/>
  <c r="BB14" i="2"/>
  <c r="BN14" i="2" s="1"/>
  <c r="AX14" i="2"/>
  <c r="AF14" i="2"/>
  <c r="BM13" i="2"/>
  <c r="BJ13" i="2"/>
  <c r="BF13" i="2"/>
  <c r="BB13" i="2"/>
  <c r="BN13" i="2" s="1"/>
  <c r="AX13" i="2"/>
  <c r="AF13" i="2"/>
  <c r="BM12" i="2"/>
  <c r="BJ12" i="2"/>
  <c r="BF12" i="2"/>
  <c r="BB12" i="2"/>
  <c r="BN12" i="2" s="1"/>
  <c r="AX12" i="2"/>
  <c r="AF12" i="2"/>
  <c r="BM11" i="2"/>
  <c r="BJ11" i="2"/>
  <c r="BF11" i="2"/>
  <c r="BB11" i="2"/>
  <c r="BN11" i="2" s="1"/>
  <c r="AX11" i="2"/>
  <c r="AF11" i="2"/>
  <c r="BM10" i="2"/>
  <c r="BJ10" i="2"/>
  <c r="BF10" i="2"/>
  <c r="BB10" i="2"/>
  <c r="BN10" i="2" s="1"/>
  <c r="AF10" i="2"/>
  <c r="BM9" i="2"/>
  <c r="BJ9" i="2"/>
  <c r="BF9" i="2"/>
  <c r="BB9" i="2"/>
  <c r="BN9" i="2" s="1"/>
  <c r="AX9" i="2"/>
  <c r="AF9" i="2"/>
  <c r="BM8" i="2"/>
  <c r="BJ8" i="2"/>
  <c r="BF8" i="2"/>
  <c r="BB8" i="2"/>
  <c r="BN8" i="2" s="1"/>
  <c r="AX8" i="2"/>
  <c r="AF8" i="2"/>
  <c r="BM7" i="2"/>
  <c r="BJ7" i="2"/>
  <c r="BF7" i="2"/>
  <c r="BB7" i="2"/>
  <c r="BN7" i="2" s="1"/>
  <c r="AX7" i="2"/>
  <c r="AF7" i="2"/>
  <c r="BM6" i="2"/>
  <c r="BJ6" i="2"/>
  <c r="BF6" i="2"/>
  <c r="BB6" i="2"/>
  <c r="BN6" i="2" s="1"/>
  <c r="AX6" i="2"/>
  <c r="AF6" i="2"/>
  <c r="BM5" i="2"/>
  <c r="BJ5" i="2"/>
  <c r="BF5" i="2"/>
  <c r="BB5" i="2"/>
  <c r="BN5" i="2" s="1"/>
  <c r="AX5" i="2"/>
  <c r="AF5" i="2"/>
  <c r="HR2" i="5"/>
  <c r="HO2" i="5"/>
  <c r="HK2" i="5"/>
  <c r="HG2" i="5"/>
  <c r="HS2" i="5" s="1"/>
  <c r="HC2" i="5"/>
  <c r="GK2" i="5"/>
  <c r="FP2" i="5"/>
  <c r="FM2" i="5"/>
  <c r="FI2" i="5"/>
  <c r="FE2" i="5"/>
  <c r="FQ2" i="5" s="1"/>
  <c r="FA2" i="5"/>
  <c r="EI2" i="5"/>
  <c r="DN2" i="5"/>
  <c r="DK2" i="5"/>
  <c r="DG2" i="5"/>
  <c r="DC2" i="5"/>
  <c r="DO2" i="5" s="1"/>
  <c r="CY2" i="5"/>
  <c r="CG2" i="5"/>
  <c r="BL2" i="5"/>
  <c r="BI2" i="5"/>
  <c r="BE2" i="5"/>
  <c r="BA2" i="5"/>
  <c r="BM2" i="5" s="1"/>
  <c r="AW2" i="5"/>
  <c r="AE2" i="5"/>
  <c r="BM4" i="2"/>
  <c r="BJ4" i="2"/>
  <c r="BF4" i="2"/>
  <c r="BB4" i="2"/>
  <c r="BN4" i="2" s="1"/>
  <c r="AX4" i="2"/>
  <c r="AF4" i="2"/>
  <c r="BM3" i="2"/>
  <c r="BJ3" i="2"/>
  <c r="BF3" i="2"/>
  <c r="BB3" i="2"/>
  <c r="BN3" i="2" s="1"/>
  <c r="AX3" i="2"/>
  <c r="AF3" i="2"/>
  <c r="BM2" i="2"/>
  <c r="BJ2" i="2"/>
  <c r="BF2" i="2"/>
  <c r="BN2" i="2" s="1"/>
  <c r="AX2" i="2"/>
  <c r="AF2" i="2"/>
  <c r="EL9" i="1"/>
  <c r="FD9" i="1"/>
  <c r="AX8" i="1"/>
  <c r="AX9" i="1"/>
  <c r="DP7" i="1"/>
  <c r="DP8" i="1"/>
  <c r="DM8" i="1"/>
  <c r="DM9" i="1"/>
  <c r="DI7" i="1"/>
  <c r="DI8" i="1"/>
  <c r="DI9" i="1"/>
  <c r="DE8" i="1"/>
  <c r="DQ8" i="1" s="1"/>
  <c r="DQ9" i="1"/>
  <c r="DA7" i="1"/>
  <c r="DA8" i="1"/>
  <c r="CI7" i="1"/>
  <c r="CI8" i="1"/>
  <c r="BM7" i="1"/>
  <c r="BM8" i="1"/>
  <c r="BJ7" i="1"/>
  <c r="BJ8" i="1"/>
  <c r="BF7" i="1"/>
  <c r="BF8" i="1"/>
  <c r="BF9" i="1"/>
  <c r="BB7" i="1"/>
  <c r="BB8" i="1"/>
  <c r="BN8" i="1" s="1"/>
  <c r="BB9" i="1"/>
  <c r="BN9" i="1" s="1"/>
  <c r="AX7" i="1"/>
  <c r="AF7" i="1"/>
  <c r="AF8" i="1"/>
  <c r="AF9" i="1"/>
  <c r="AF5" i="1"/>
  <c r="AF6" i="1"/>
  <c r="BF4" i="1"/>
  <c r="BF5" i="1"/>
  <c r="BF6" i="1"/>
  <c r="HK3" i="1"/>
  <c r="HK4" i="1"/>
  <c r="HK5" i="1"/>
  <c r="HK6" i="1"/>
  <c r="HK7" i="1"/>
  <c r="HK8" i="1"/>
  <c r="HV3" i="1"/>
  <c r="HV4" i="1"/>
  <c r="HV5" i="1"/>
  <c r="HV6" i="1"/>
  <c r="HV7" i="1"/>
  <c r="HV8" i="1"/>
  <c r="HS3" i="1"/>
  <c r="HS4" i="1"/>
  <c r="HS5" i="1"/>
  <c r="HS6" i="1"/>
  <c r="HS7" i="1"/>
  <c r="HS8" i="1"/>
  <c r="HO3" i="1"/>
  <c r="HO4" i="1"/>
  <c r="HO5" i="1"/>
  <c r="HO6" i="1"/>
  <c r="HO7" i="1"/>
  <c r="HO8" i="1"/>
  <c r="HG3" i="1"/>
  <c r="HG4" i="1"/>
  <c r="HG5" i="1"/>
  <c r="HG6" i="1"/>
  <c r="GO4" i="1"/>
  <c r="GO5" i="1"/>
  <c r="GO6" i="1"/>
  <c r="HO2" i="1"/>
  <c r="HS2" i="1"/>
  <c r="HV2" i="1"/>
  <c r="BM6" i="1"/>
  <c r="AX5" i="1"/>
  <c r="AX6" i="1"/>
  <c r="FH2" i="1"/>
  <c r="FH3" i="1"/>
  <c r="FH4" i="1"/>
  <c r="FH5" i="1"/>
  <c r="FH6" i="1"/>
  <c r="FH7" i="1"/>
  <c r="FL2" i="1"/>
  <c r="FL3" i="1"/>
  <c r="FL4" i="1"/>
  <c r="FL5" i="1"/>
  <c r="FL6" i="1"/>
  <c r="FL7" i="1"/>
  <c r="FL8" i="1"/>
  <c r="FP2" i="1"/>
  <c r="FP3" i="1"/>
  <c r="FP4" i="1"/>
  <c r="FP5" i="1"/>
  <c r="FP6" i="1"/>
  <c r="FP7" i="1"/>
  <c r="FP8" i="1"/>
  <c r="FS2" i="1"/>
  <c r="FS3" i="1"/>
  <c r="FS4" i="1"/>
  <c r="FS5" i="1"/>
  <c r="FS6" i="1"/>
  <c r="FS7" i="1"/>
  <c r="FS8" i="1"/>
  <c r="FD5" i="1"/>
  <c r="FD2" i="1"/>
  <c r="FD3" i="1"/>
  <c r="FD4" i="1"/>
  <c r="DA6" i="1"/>
  <c r="FD7" i="1"/>
  <c r="FD8" i="1"/>
  <c r="EL2" i="1"/>
  <c r="EL3" i="1"/>
  <c r="EL4" i="1"/>
  <c r="EL5" i="1"/>
  <c r="CI6" i="1"/>
  <c r="EL7" i="1"/>
  <c r="EL8" i="1"/>
  <c r="DE4" i="1"/>
  <c r="DE5" i="1"/>
  <c r="DE6" i="1"/>
  <c r="BM4" i="1"/>
  <c r="BM5" i="1"/>
  <c r="BJ4" i="1"/>
  <c r="BJ5" i="1"/>
  <c r="BJ6" i="1"/>
  <c r="BB4" i="1"/>
  <c r="BN4" i="1" s="1"/>
  <c r="BB5" i="1"/>
  <c r="BN5" i="1" s="1"/>
  <c r="BB6" i="1"/>
  <c r="BN6" i="1" s="1"/>
  <c r="AX4" i="1"/>
  <c r="AF4" i="1"/>
  <c r="DA2" i="1"/>
  <c r="DA3" i="1"/>
  <c r="DA4" i="1"/>
  <c r="DA5" i="1"/>
  <c r="CI2" i="1"/>
  <c r="CI3" i="1"/>
  <c r="CI5" i="1"/>
  <c r="AF2" i="1"/>
  <c r="AF3" i="1"/>
  <c r="DE2" i="1"/>
  <c r="DE3" i="1"/>
  <c r="DI2" i="1"/>
  <c r="DI3" i="1"/>
  <c r="DI4" i="1"/>
  <c r="DI5" i="1"/>
  <c r="DI6" i="1"/>
  <c r="DM3" i="1"/>
  <c r="DM4" i="1"/>
  <c r="DM6" i="1"/>
  <c r="DM7" i="1"/>
  <c r="DM2" i="1"/>
  <c r="DP2" i="1"/>
  <c r="DP3" i="1"/>
  <c r="DP4" i="1"/>
  <c r="DP5" i="1"/>
  <c r="DP6" i="1"/>
  <c r="HG2" i="1"/>
  <c r="GO3" i="1"/>
  <c r="GO2" i="1"/>
  <c r="AX3" i="1"/>
  <c r="AX2" i="1"/>
  <c r="BB3" i="1"/>
  <c r="BB2" i="1"/>
  <c r="BF3" i="1"/>
  <c r="BF2" i="1"/>
  <c r="BJ3" i="1"/>
  <c r="BJ2" i="1"/>
  <c r="BM3" i="1"/>
  <c r="BM2" i="1"/>
  <c r="FT7" i="3" l="1"/>
  <c r="DQ7" i="1"/>
  <c r="BN7" i="1"/>
  <c r="HW2" i="1"/>
  <c r="HW8" i="1"/>
  <c r="HW7" i="1"/>
  <c r="HW6" i="1"/>
  <c r="HW5" i="1"/>
  <c r="HW4" i="1"/>
  <c r="HW3" i="1"/>
  <c r="FT8" i="1"/>
  <c r="FT7" i="1"/>
  <c r="FT6" i="1"/>
  <c r="FT5" i="1"/>
  <c r="FT3" i="1"/>
  <c r="FT2" i="1"/>
  <c r="FT4" i="1"/>
  <c r="DQ6" i="1"/>
  <c r="DQ5" i="1"/>
  <c r="DQ4" i="1"/>
  <c r="DQ3" i="1"/>
  <c r="DQ2" i="1"/>
  <c r="BN2" i="1"/>
  <c r="BN3" i="1"/>
</calcChain>
</file>

<file path=xl/sharedStrings.xml><?xml version="1.0" encoding="utf-8"?>
<sst xmlns="http://schemas.openxmlformats.org/spreadsheetml/2006/main" count="2551" uniqueCount="892">
  <si>
    <t>Control/Patient</t>
  </si>
  <si>
    <t>T pending</t>
  </si>
  <si>
    <t>Comments</t>
  </si>
  <si>
    <t>NHC</t>
  </si>
  <si>
    <t>year_born</t>
  </si>
  <si>
    <t>age</t>
  </si>
  <si>
    <t>sex</t>
  </si>
  <si>
    <t>Ant_Med</t>
  </si>
  <si>
    <t>SUD_current</t>
  </si>
  <si>
    <t>SUD_previous</t>
  </si>
  <si>
    <t>Ant_PSI</t>
  </si>
  <si>
    <t>Dx_Episode</t>
  </si>
  <si>
    <t>Codigo SIMPLe</t>
  </si>
  <si>
    <t>T0_date</t>
  </si>
  <si>
    <t>T0_hour</t>
  </si>
  <si>
    <t>T0_Code_device</t>
  </si>
  <si>
    <t>T0_Session_Code</t>
  </si>
  <si>
    <t>T0_total_hours</t>
  </si>
  <si>
    <t>Treatment_T0</t>
  </si>
  <si>
    <t>T0_YMRS1</t>
  </si>
  <si>
    <t>T0_YMRS2</t>
  </si>
  <si>
    <t>T0_YMRS3</t>
  </si>
  <si>
    <t>T0_YMRS4</t>
  </si>
  <si>
    <t>T0_YMRS5</t>
  </si>
  <si>
    <t>T0_YMRS6</t>
  </si>
  <si>
    <t>T0_YMRS7</t>
  </si>
  <si>
    <t>T0_YMRS8</t>
  </si>
  <si>
    <t>T0_YMRS9</t>
  </si>
  <si>
    <t>T0_YMRS10</t>
  </si>
  <si>
    <t>T0_YMRS11</t>
  </si>
  <si>
    <t>T0_YMRS_SUM</t>
  </si>
  <si>
    <t>T0_HDRS1</t>
  </si>
  <si>
    <t>T0_HDRS2</t>
  </si>
  <si>
    <t>T0_HDRS3</t>
  </si>
  <si>
    <t>T0_HDRS4</t>
  </si>
  <si>
    <t>T0_HDRS5</t>
  </si>
  <si>
    <t>T0_HDRS6</t>
  </si>
  <si>
    <t>T0_HDRS7</t>
  </si>
  <si>
    <t>T0_HDRS8</t>
  </si>
  <si>
    <t>T0_HDRS9</t>
  </si>
  <si>
    <t>T0_HDRS10</t>
  </si>
  <si>
    <t>T0_HDRS11</t>
  </si>
  <si>
    <t>T0_HDRS12</t>
  </si>
  <si>
    <t>T0_HDRS13</t>
  </si>
  <si>
    <t>T0_HDRS14</t>
  </si>
  <si>
    <t>T0_HDRS15</t>
  </si>
  <si>
    <t>T0_HDRS16</t>
  </si>
  <si>
    <t>T0_HDRS17</t>
  </si>
  <si>
    <t>T0_HDRS_SUM</t>
  </si>
  <si>
    <t>T0_Dias_intenso</t>
  </si>
  <si>
    <t>T0_Horas_intenso</t>
  </si>
  <si>
    <t>T0_Min_intenso</t>
  </si>
  <si>
    <t>T0_MET_intenso</t>
  </si>
  <si>
    <t>T0_Dias_moder</t>
  </si>
  <si>
    <t>T0_Horas_moder</t>
  </si>
  <si>
    <t>T0_Min_moder</t>
  </si>
  <si>
    <t>T0_MET_moder</t>
  </si>
  <si>
    <t>T0_Dias_camin</t>
  </si>
  <si>
    <t>T0_Horas_camin</t>
  </si>
  <si>
    <t>T0_Min_camin</t>
  </si>
  <si>
    <t>T0_MET_camin</t>
  </si>
  <si>
    <t>T0_Horas_sentad</t>
  </si>
  <si>
    <t>T0_Min_sentad</t>
  </si>
  <si>
    <t>T0_MET_sentad</t>
  </si>
  <si>
    <t>T0_IPAQ_total</t>
  </si>
  <si>
    <t>Exercise T0</t>
  </si>
  <si>
    <t>Events T0</t>
  </si>
  <si>
    <t>T1_date</t>
  </si>
  <si>
    <t>T1_hour</t>
  </si>
  <si>
    <t>T1_Code_device</t>
  </si>
  <si>
    <t>T1_Session_Code</t>
  </si>
  <si>
    <t>T1_total_hours</t>
  </si>
  <si>
    <t>Treatment T1</t>
  </si>
  <si>
    <t>T1_YMRS1</t>
  </si>
  <si>
    <t>T1_YMRS2</t>
  </si>
  <si>
    <t>T1_YMRS3</t>
  </si>
  <si>
    <t>T1_YMRS4</t>
  </si>
  <si>
    <t>T1_YMRS5</t>
  </si>
  <si>
    <t>T1_YMRS6</t>
  </si>
  <si>
    <t>T1_YMRS7</t>
  </si>
  <si>
    <t>T1_YMRS8</t>
  </si>
  <si>
    <t>T1_YMRS9</t>
  </si>
  <si>
    <t>T1_YMRS10</t>
  </si>
  <si>
    <t>T1_YMRS11</t>
  </si>
  <si>
    <t>T1_YMRS_SUM</t>
  </si>
  <si>
    <t>T1_HDRS1</t>
  </si>
  <si>
    <t>T1_HDRS2</t>
  </si>
  <si>
    <t>T1_HDRS3</t>
  </si>
  <si>
    <t>T1_HDRS4</t>
  </si>
  <si>
    <t>T1_HDRS5</t>
  </si>
  <si>
    <t>T1_HDRS6</t>
  </si>
  <si>
    <t>T1_HDRS7</t>
  </si>
  <si>
    <t>T1_HDRS8</t>
  </si>
  <si>
    <t>T1_HDRS9</t>
  </si>
  <si>
    <t>T1_HDRS10</t>
  </si>
  <si>
    <t>T1_HDRS11</t>
  </si>
  <si>
    <t>T1_HDRS12</t>
  </si>
  <si>
    <t>T1_HDRS13</t>
  </si>
  <si>
    <t>T1_HDRS14</t>
  </si>
  <si>
    <t>T1_HDRS15</t>
  </si>
  <si>
    <t>T1_HDRS16</t>
  </si>
  <si>
    <t>T1_HDRS17</t>
  </si>
  <si>
    <t>T1_HDRS_SUM</t>
  </si>
  <si>
    <t>T1_Dias_intenso</t>
  </si>
  <si>
    <t>T1_Horas_intenso</t>
  </si>
  <si>
    <t>T1_Min_intenso</t>
  </si>
  <si>
    <t>T1_MET_intenso</t>
  </si>
  <si>
    <t>T1_Dias_moder</t>
  </si>
  <si>
    <t>T1_Horas_moder</t>
  </si>
  <si>
    <t>T1_Min_moder</t>
  </si>
  <si>
    <t>T1_MET_moder</t>
  </si>
  <si>
    <t>T1_Dias_camin</t>
  </si>
  <si>
    <t>T1_Horas_camin</t>
  </si>
  <si>
    <t>T1_Min_camin</t>
  </si>
  <si>
    <t>T1_MET_camin</t>
  </si>
  <si>
    <t>T1_Horas_sentad</t>
  </si>
  <si>
    <t>T1_Min_sentad</t>
  </si>
  <si>
    <t>T1_MET_sentad</t>
  </si>
  <si>
    <t>T1_IPAQ_total</t>
  </si>
  <si>
    <t>Exercise T1</t>
  </si>
  <si>
    <t>Events T1</t>
  </si>
  <si>
    <t>T2_date</t>
  </si>
  <si>
    <t>T2_hour</t>
  </si>
  <si>
    <t>T2_Code_device</t>
  </si>
  <si>
    <t>T2_Session_Code</t>
  </si>
  <si>
    <t>T2_total_hours</t>
  </si>
  <si>
    <t>Treatment T2</t>
  </si>
  <si>
    <t>T2_YMRS1</t>
  </si>
  <si>
    <t>T2_YMRS2</t>
  </si>
  <si>
    <t>T2_YMRS3</t>
  </si>
  <si>
    <t>T2_YMRS4</t>
  </si>
  <si>
    <t>T2_YMRS5</t>
  </si>
  <si>
    <t>T2_YMRS6</t>
  </si>
  <si>
    <t>T2_YMRS7</t>
  </si>
  <si>
    <t>T2_YMRS8</t>
  </si>
  <si>
    <t>T2_YMRS9</t>
  </si>
  <si>
    <t>T2_YMRS10</t>
  </si>
  <si>
    <t>T2_YMRS11</t>
  </si>
  <si>
    <t>T2_YMRS_SUM</t>
  </si>
  <si>
    <t>T2_HDRS1</t>
  </si>
  <si>
    <t>T2_HDRS2</t>
  </si>
  <si>
    <t>T2_HDRS3</t>
  </si>
  <si>
    <t>T2_HDRS4</t>
  </si>
  <si>
    <t>T2_HDRS5</t>
  </si>
  <si>
    <t>T2_HDRS6</t>
  </si>
  <si>
    <t>T2_HDRS7</t>
  </si>
  <si>
    <t>T2_HDRS8</t>
  </si>
  <si>
    <t>T2_HDRS9</t>
  </si>
  <si>
    <t>T2_HDRS10</t>
  </si>
  <si>
    <t>T2_HDRS11</t>
  </si>
  <si>
    <t>T2_HDRS12</t>
  </si>
  <si>
    <t>T2_HDRS13</t>
  </si>
  <si>
    <t>T2_HDRS14</t>
  </si>
  <si>
    <t>T2_HDRS15</t>
  </si>
  <si>
    <t>T2_HDRS16</t>
  </si>
  <si>
    <t>T2_HDRS17</t>
  </si>
  <si>
    <t>T2_HDRS_SUM</t>
  </si>
  <si>
    <t>T2_Dias_intenso</t>
  </si>
  <si>
    <t>T2_Horas_intenso</t>
  </si>
  <si>
    <t>T2_Min_intenso</t>
  </si>
  <si>
    <t>T2_MET_intenso</t>
  </si>
  <si>
    <t>T2_Dias_moder</t>
  </si>
  <si>
    <t>T2_Horas_moder</t>
  </si>
  <si>
    <t>T2_Min_moder</t>
  </si>
  <si>
    <t>T2_MET_moder</t>
  </si>
  <si>
    <t>T2_Dias_camin</t>
  </si>
  <si>
    <t>T2_Horas_camin</t>
  </si>
  <si>
    <t>T2_Min_camin</t>
  </si>
  <si>
    <t>T2_MET_camin</t>
  </si>
  <si>
    <t>T2_Horas_sentad</t>
  </si>
  <si>
    <t>T2_Min_sentad</t>
  </si>
  <si>
    <t>T2_MET_sentad</t>
  </si>
  <si>
    <t>T2_IPAQ_total</t>
  </si>
  <si>
    <t>Exercise T2</t>
  </si>
  <si>
    <t>Events T2</t>
  </si>
  <si>
    <t>T3_date</t>
  </si>
  <si>
    <t>T3_hour</t>
  </si>
  <si>
    <t>T3_Code_device</t>
  </si>
  <si>
    <t>T3_Session_Code</t>
  </si>
  <si>
    <t>T3_total_hours</t>
  </si>
  <si>
    <t>Treatment T3</t>
  </si>
  <si>
    <t>T3_YMRS1</t>
  </si>
  <si>
    <t>T3_YMRS2</t>
  </si>
  <si>
    <t>T3_YMRS3</t>
  </si>
  <si>
    <t>T3_YMRS4</t>
  </si>
  <si>
    <t>T3_YMRS5</t>
  </si>
  <si>
    <t>T3_YMRS6</t>
  </si>
  <si>
    <t>T3_YMRS7</t>
  </si>
  <si>
    <t>T3_YMRS8</t>
  </si>
  <si>
    <t>T3_YMRS9</t>
  </si>
  <si>
    <t>T3_YMRS10</t>
  </si>
  <si>
    <t>T3_YMRS11</t>
  </si>
  <si>
    <t>T3_YMRS_SUM</t>
  </si>
  <si>
    <t>T3_HDRS1</t>
  </si>
  <si>
    <t>T3_HDRS2</t>
  </si>
  <si>
    <t>T3_HDRS3</t>
  </si>
  <si>
    <t>T3_HDRS4</t>
  </si>
  <si>
    <t>T3_HDRS5</t>
  </si>
  <si>
    <t>T3_HDRS6</t>
  </si>
  <si>
    <t>T3_HDRS7</t>
  </si>
  <si>
    <t>T3_HDRS8</t>
  </si>
  <si>
    <t>T3_HDRS9</t>
  </si>
  <si>
    <t>T3_HDRS10</t>
  </si>
  <si>
    <t>T3_HDRS11</t>
  </si>
  <si>
    <t>T3_HDRS12</t>
  </si>
  <si>
    <t>T3_HDRS13</t>
  </si>
  <si>
    <t>T3_HDRS14</t>
  </si>
  <si>
    <t>T3_HDRS15</t>
  </si>
  <si>
    <t>T3_HDRS16</t>
  </si>
  <si>
    <t>T3_HDRS17</t>
  </si>
  <si>
    <t>T3_HDRS_SUM</t>
  </si>
  <si>
    <t>T3_Dias_intenso</t>
  </si>
  <si>
    <t>T3_Horas_intenso</t>
  </si>
  <si>
    <t>T3_Min_intenso</t>
  </si>
  <si>
    <t>T3_MET_intenso</t>
  </si>
  <si>
    <t>T3_Dias_moder</t>
  </si>
  <si>
    <t>T3_Horas_moder</t>
  </si>
  <si>
    <t>T3_Min_moder</t>
  </si>
  <si>
    <t>T3_MET_moder</t>
  </si>
  <si>
    <t>T3_Dias_camin</t>
  </si>
  <si>
    <t>T3_Horas_camin</t>
  </si>
  <si>
    <t>T3_Min_camin</t>
  </si>
  <si>
    <t>T3_MET_camin</t>
  </si>
  <si>
    <t>T3_Horas_sentad</t>
  </si>
  <si>
    <t>T3_Min_sentad</t>
  </si>
  <si>
    <t>T3_MET_sentad</t>
  </si>
  <si>
    <t>T3_IPAQ_total</t>
  </si>
  <si>
    <t>Exercise T3</t>
  </si>
  <si>
    <t>Events T3</t>
  </si>
  <si>
    <t>Fecha inicio SIMPLe</t>
  </si>
  <si>
    <t>Fecha fin SIMPLe</t>
  </si>
  <si>
    <t>Patient</t>
  </si>
  <si>
    <t>none</t>
  </si>
  <si>
    <t>Pakistan. 
First major depressive episode in the context of economis stressor.</t>
  </si>
  <si>
    <t>20.02.1976</t>
  </si>
  <si>
    <t>male</t>
  </si>
  <si>
    <t>Yes (asthma, thalassemia)</t>
  </si>
  <si>
    <t>No</t>
  </si>
  <si>
    <t>First major depressive episode without psychotic features</t>
  </si>
  <si>
    <t>-</t>
  </si>
  <si>
    <t>29.04.2021</t>
  </si>
  <si>
    <t>13:15h</t>
  </si>
  <si>
    <t>A0385F</t>
  </si>
  <si>
    <t>Olanzapine 5-5-10mg
VLF R 150mg 1-0-0
Flurazepam 30mg 0-0-1 (+1PRN)</t>
  </si>
  <si>
    <t>29.04.2021: no
30.04.2021: no
01.05.2021: no</t>
  </si>
  <si>
    <t>29.04.2021: -
30.04.2021: no rescate de medicación nocturno. Mejoría clínica substancial en 24h.
01.05.2021: retirada E4 a las 13h</t>
  </si>
  <si>
    <t>03.05.2021</t>
  </si>
  <si>
    <t>A03576</t>
  </si>
  <si>
    <t>Olanzapine 5-5-10mg
VLF R 225mg 1-0-0 (starting on the 04.05.2021)
Flurazepam 30mg 0-0-1 (+1PRN)</t>
  </si>
  <si>
    <t>03.05.2021: -
04.05.2021: -
05.05.2021: -</t>
  </si>
  <si>
    <t>10.05.2021</t>
  </si>
  <si>
    <t>11h</t>
  </si>
  <si>
    <t xml:space="preserve"> 45h 41m 59s</t>
  </si>
  <si>
    <t>Olanzapine 0-5-10mg
VLF R 225mg 1-0-0
Flurazepam 30mg 0-0-1 (+PRN)</t>
  </si>
  <si>
    <t>10.05.2021: -
11.05.2021: -
12.05.2021: -</t>
  </si>
  <si>
    <t>10.05.2021: -
11.05.2021: wakes up at 5am
anxious, worsening of depressive symptoms (hypomimia, clinofilia). He was going to leave the hospital the following day and feels the pressure.
12.05.2021: -</t>
  </si>
  <si>
    <t>16.02.2022</t>
  </si>
  <si>
    <t>A0349B</t>
  </si>
  <si>
    <t>Flurazepam 30mg 0-0-1
Venlafaxina 225mg 1-0-0</t>
  </si>
  <si>
    <t>Day 2: Anisedad problemas para dormir</t>
  </si>
  <si>
    <t>Catalan. Catatonia and disorganization in First major depressive episode.</t>
  </si>
  <si>
    <t>31.08.1963</t>
  </si>
  <si>
    <t>Obsessive Compulsive Disorder</t>
  </si>
  <si>
    <t xml:space="preserve">First major depressive episode with Catatonia and disorganization in </t>
  </si>
  <si>
    <t>16.06.2021</t>
  </si>
  <si>
    <t>15:20h</t>
  </si>
  <si>
    <t>41h</t>
  </si>
  <si>
    <t>Clomipramine 37.5mg 0-0-1 (increased to 0-0-2 on the 17.06;  
Olanzapine 10mg 0.5-0-1 (increased to 1-0-1 on the 17.06; switched to Quetiapine 0-25-50 on the 18.06.2021)
Clonazepam 0.5mg 1-2-2 (increased to 2-2-2 on the 17 and 18.06)</t>
  </si>
  <si>
    <t>16.06.2021: clinofilia. No physical activity.
17.06.2021: clinofilia. No physical activity.
18.06.2021: clinofilia. No physical activity.</t>
  </si>
  <si>
    <t>16.06.2021: medication changes
17.06.2021: medication changes
18.06.2021: olanzapine switched to quetiapine.</t>
  </si>
  <si>
    <t>21.06.2021</t>
  </si>
  <si>
    <t>12:55h</t>
  </si>
  <si>
    <t>Clomipramine 75mg 0-0-1 (increased to 0-0-2 on the 22.06)
Quetiapine 50mg 0.5-0.5-1 (increased to 1-1-1 on the 22.06)
Clonazepam 0.5mg 1-1-1</t>
  </si>
  <si>
    <t>21.06.2021: less clinofilia than T0
22.06.2021: less clinofilia than T0
23.06.2021: less clinofilia than T0</t>
  </si>
  <si>
    <t>21.06.2021: -
22.06.2021: -
23.06.2021: 2nd Pfizer covid vaccine administered.</t>
  </si>
  <si>
    <t>29.06.21</t>
  </si>
  <si>
    <t>12h</t>
  </si>
  <si>
    <t>42h</t>
  </si>
  <si>
    <t>Clomipramine 75mg 0-0-2 
Quetiapine 50mg 1-1-1
Clonazepam 0.5mg 1-1-1</t>
  </si>
  <si>
    <t>29.06.2021: -
30.06.2021: -
01.07.2021: -</t>
  </si>
  <si>
    <t>27.07.21</t>
  </si>
  <si>
    <t>11:17h</t>
  </si>
  <si>
    <t>Clomipramine 75mg 0-0-2 
Quetiapine 50mg 1-1-1
Clonazepam 0.5mg 1-1-1
Propranolol 20mg 1-0-0</t>
  </si>
  <si>
    <t>T3</t>
  </si>
  <si>
    <t>Chile
HDSM Depre bipolar</t>
  </si>
  <si>
    <t>03.11.1987</t>
  </si>
  <si>
    <t>Asma, epilepsia, dermatitis atopica, amigalitis</t>
  </si>
  <si>
    <t>Yes (THC)</t>
  </si>
  <si>
    <t xml:space="preserve">Yes (THC) </t>
  </si>
  <si>
    <t xml:space="preserve"> First depressive episode at 20 years
First admission on
2019 depressive episode (Hospital del mar)  </t>
  </si>
  <si>
    <t xml:space="preserve">recurrent depressive episode </t>
  </si>
  <si>
    <t>20.10.2021</t>
  </si>
  <si>
    <t>Litio 200mg 1-0-1
Diazepam 5mg 0-0-1
Fluoxetina 20 mg 1-0-0
Fluvoxamina 200mg 0-0-1
Lamotrigina 150mg 1-0-0
Lamotrigina 200mg 0-0-1</t>
  </si>
  <si>
    <t>31.10.2021</t>
  </si>
  <si>
    <t>Fluoxetina 20mg 1-0-0
lamotrigina 200mg 1-0-1
Litio 400-0-600
Diazepam 5mg 0-0-1</t>
  </si>
  <si>
    <t>08.11.2021</t>
  </si>
  <si>
    <t>Fluoxetina 10mg 1-0-0 lamotrigina 200mg 1-0-1 
Litio 400-0-600 
Diazepam 5mg 0-0-1</t>
  </si>
  <si>
    <t>T2</t>
  </si>
  <si>
    <t>Catalan. Bipolar Disorder Type II Debut 36
* cas raro, pq fem T· a les poques setmanes, es pot demanar una altre mesura</t>
  </si>
  <si>
    <t>14.03.1965</t>
  </si>
  <si>
    <t>female</t>
  </si>
  <si>
    <t>BD Type II
Debut 36 años
4 depressive episodes. 2 admissions.
TEC in may 2021</t>
  </si>
  <si>
    <t>Depressive episode
TEC</t>
  </si>
  <si>
    <t>26.10.2021</t>
  </si>
  <si>
    <t>Lito 400-0-600
Zolpidem 5mg 0-0-1
Clometiazol 2 UND 0-0-1
Clomipramina 150mg 0-0-1
Lamotrigina 25mg 1-0-0</t>
  </si>
  <si>
    <t>04.11.2021</t>
  </si>
  <si>
    <t>Litio 400-0-600
Zolpidem5mg 0-0-1
Lamotrigina 50mg 1-0-0
Quetiapina 50mg 0-0-1</t>
  </si>
  <si>
    <t xml:space="preserve">04.11.2021 medication Changes </t>
  </si>
  <si>
    <t>22.11.2021</t>
  </si>
  <si>
    <t>Lamotrigina 100mg 1-0-0
Quetiapina 50mg 0-0-2
Litio 400mg 1-0-1
Zolpidem 10mg (si precisa)</t>
  </si>
  <si>
    <t xml:space="preserve"> T2, T3</t>
  </si>
  <si>
    <t>Catalan. Bipolar Disorder Type II</t>
  </si>
  <si>
    <t>26.02.1981</t>
  </si>
  <si>
    <t>Major depressive disorder</t>
  </si>
  <si>
    <t>Depressive episode/Mixed episode
Autolytic attempt before admission</t>
  </si>
  <si>
    <t>11.11.2021</t>
  </si>
  <si>
    <t>Litio 200mg 1-0-1
Olanzapina 5mg 1-1-0
Flurazepam 30mg 0-0-1
Lurasidona 75mg 0-0-1
Venlafaxina 75mg 1-0-0</t>
  </si>
  <si>
    <t>12.11.2021: medication changes. End Venlafaxina. Litio augment</t>
  </si>
  <si>
    <t>26.11.2021</t>
  </si>
  <si>
    <t>Lito 400-0-600
Olanzapina 5mg 0-0-1
Lormetazepam 2mg 0-0-1
Lurasidona 37mg 0-0-1</t>
  </si>
  <si>
    <t xml:space="preserve">Patient  </t>
  </si>
  <si>
    <t>Josefina
Actigraf als 12 dies ingrés
Alta a HDSM</t>
  </si>
  <si>
    <t>16.05.1961</t>
  </si>
  <si>
    <t>femele</t>
  </si>
  <si>
    <t>First admission 1990 psychotic episode
second admission HD Numancia 2013 depressive episode
BD Type I
Dx: Esquizoafectivo??</t>
  </si>
  <si>
    <t>Depressive episode</t>
  </si>
  <si>
    <t>10.01.2021</t>
  </si>
  <si>
    <t>Lurasidona 75mg 0-0-1
Olanzapina 5mg-0-10mg
Litio 400mg 1-0-1
Flurazepam 30mg 0-0-1
Pregabalina 50mg 1-1-1</t>
  </si>
  <si>
    <t>A042EE</t>
  </si>
  <si>
    <t xml:space="preserve">Olanzapina alter 10 mg 0-0-1
Litio 400 mg 1-0-1
Sertralina 100mg 1-0-0
Pregabalina stada 25mg 2-2-2
Lurasidona 74mg 0-0-1
 </t>
  </si>
  <si>
    <t>Juan (pacient Diego)
SEGUIMNET A CASA</t>
  </si>
  <si>
    <t>08.01.1962</t>
  </si>
  <si>
    <t>BD I
First depressive episode in 2010.
Depressive episode 2020 august
Manic episode 2020 october inducido por antidepresivos</t>
  </si>
  <si>
    <t>Simtomatologia depresiva</t>
  </si>
  <si>
    <t>31.01.2022</t>
  </si>
  <si>
    <t>A03ED2</t>
  </si>
  <si>
    <t>Lurasidona 18.5mg  0-0-1
Litio 600mg 1-0-1</t>
  </si>
  <si>
    <t>21.02.2022</t>
  </si>
  <si>
    <t>A04BC2</t>
  </si>
  <si>
    <t xml:space="preserve">
Lurasidona 18.5mg 0-0-1
Litio 400mg 1.5-0.1.5</t>
  </si>
  <si>
    <t xml:space="preserve"> T3</t>
  </si>
  <si>
    <t>Ruben Sebastian 
(pacient Marc Valentí)
SEGUIMENT A CASA</t>
  </si>
  <si>
    <t>27.01.1986</t>
  </si>
  <si>
    <t xml:space="preserve">No </t>
  </si>
  <si>
    <t>Yes OH 5 UBE/day</t>
  </si>
  <si>
    <t>BD Type II
Debut 16 años
Diferentes episodios depresivos, un episodio hipomaniaco</t>
  </si>
  <si>
    <t>INT011</t>
  </si>
  <si>
    <t>02.02.2022</t>
  </si>
  <si>
    <t>Litio 400mg 1.5-0-2
Vortioxetina 15mg 1-0-0
Cariprazina 1.5mg 1-0-0</t>
  </si>
  <si>
    <t>Consumo elevado de alcohol, no sabe exactamente si las dos noches. Media de consumo habitual 2-3 botellas de vino por noche.</t>
  </si>
  <si>
    <t>28.02.2022</t>
  </si>
  <si>
    <t>A03360</t>
  </si>
  <si>
    <t>Litio 400mg 1.5-0-2 Vortioxetina 15mg 1-0-0 Cariprazina 1.5mg 1-0-0
Lamotrigina 200mg 1-0-0</t>
  </si>
  <si>
    <t>Day 1: from 13h to14h 1 coffe+ 1 wine bottle
At 23h 1/2 wine bottle</t>
  </si>
  <si>
    <t>07.04.2022</t>
  </si>
  <si>
    <t>Judit</t>
  </si>
  <si>
    <t>03.02.2003</t>
  </si>
  <si>
    <t>Éxtasis/ patron ludico semanal 4meses abstinente</t>
  </si>
  <si>
    <t>First depressive episode (unipolar)</t>
  </si>
  <si>
    <t>INT012</t>
  </si>
  <si>
    <t>08.03.2022</t>
  </si>
  <si>
    <t>Olanzapina 5mg-0-10mg
Diazepam 5mg 1-0-1
Flurazepam 30mg 0-0-1
lamotrigina 25mg 1-0-0</t>
  </si>
  <si>
    <t>Cambio medicación: Añaden lamotrigina día 9.03 mañana</t>
  </si>
  <si>
    <t>18.03.2022</t>
  </si>
  <si>
    <t>Quetiapina 25mg 1-1-0
Litio 400,g 1-0-1
Lormetazepam 1mg 0-0-1
Sertralina 50mg 1-0-0</t>
  </si>
  <si>
    <t>12.04.2022</t>
  </si>
  <si>
    <t>Lorazepam 2mg 0-0-0,5
Litio 400mg  1-0-1
Lurasidona 74mg 0-0-1</t>
  </si>
  <si>
    <t>Ana Delia</t>
  </si>
  <si>
    <t>16.09.1989</t>
  </si>
  <si>
    <t>Historia de trauma (clinica ansiosa) seguimiento psiquiatria 2018-2019
TLP+TBII</t>
  </si>
  <si>
    <t>INT007</t>
  </si>
  <si>
    <t>17.03.2022</t>
  </si>
  <si>
    <t>Venlafaxina 75mg 1-0-0
Litio 600mg/día
Lurasidona 18.5mg 0-0-1</t>
  </si>
  <si>
    <t xml:space="preserve">17.03.22: 14:45h situación estresante
12:30 café
16h cinco horas de siesta
21h 2 coca cola
18.03.22: 13h situación estresantes + consumo cafes
</t>
  </si>
  <si>
    <t>Día 2: 12h Coca-cola</t>
  </si>
  <si>
    <t>T1, T2, T3</t>
  </si>
  <si>
    <t>pacient HDSM
(No serveix)</t>
  </si>
  <si>
    <t>01.09.1971</t>
  </si>
  <si>
    <t>Prolapso mitral</t>
  </si>
  <si>
    <t>Episodio depresivo 2015 y 2019</t>
  </si>
  <si>
    <t xml:space="preserve">BD   Depressive episode with mixed symptoms.
</t>
  </si>
  <si>
    <t>15.04.2022</t>
  </si>
  <si>
    <t>Litio 400mg 1-0-1
Lurasidona 37mg 0-0-1</t>
  </si>
  <si>
    <t>27.04.2022</t>
  </si>
  <si>
    <t>A043C2</t>
  </si>
  <si>
    <t>China. First manic episode with psychotic symptoms while use of metamphetamine.  Evaluation T0 after 1 month of abstinence.</t>
  </si>
  <si>
    <t>16.11.1988</t>
  </si>
  <si>
    <t>Yes (THC, metamphetamine)</t>
  </si>
  <si>
    <t>First manic episode with psychotic symptoms</t>
  </si>
  <si>
    <t>Olanzapine 0-5-10
Lithium 400-0-600
Paliperidone 0-0-9
Paliperidone 150mg IM (T0)
Flurazepam 30mg 0-0-1
Clonazepam 0.5mg 1-1-1
Biperiden R 4mg 1-0-0
Nicotina percutánea 14mg</t>
  </si>
  <si>
    <t>29.04.2021: escaso
30.04.2021: escaso
01.05.2021: escaso</t>
  </si>
  <si>
    <t>29.04.2021: 
Xeplion 150 IM, administración 13:30h.
El paciente le da el actigrafo a otro paciente entre las 16 y las 20h durante &lt;5 min
17:50-18:03
30.04.2021: 
01:00h: rescate flurazepam por insomnio
En ayunas hasta RM cerebral.
Retirada E4: 12h RM cerebral en sedación, vuelve a las 13:30h.
17:15h se provoca vómito al estar mareado.
01.05.2021: retirada E4 a las 17:15h. 
**Sin cambio psiopatológico en 48 horas.</t>
  </si>
  <si>
    <t>Olanzapine 0-5-10 (increased on the 5.5.21 to 30mg/day)
Lithium 400-0-600
Paliperidone 0-0-9 (reduced to 6mg/day on the 4.5.2021)
Paliperidone 100mg IM (on the 04.05.2021)
Flurazepam 30mg 0-0-1
Clonazepam 0.5mg 1-1-1
Biperiden R 4mg 1-0-0
Nicotina (percutaneous) 14mg</t>
  </si>
  <si>
    <t>03.05.2021: -
04.05.2021: reported at 13h (running)
05.05.2021: reported at 8:30h (running)</t>
  </si>
  <si>
    <t>03.05.2021: 
Clear reduction on YMRS compared to T0.
04.05.2021: 
During the early morning 00-7h a discussion with another patient is reported. The patient receives flurazepam 30mg PRN.
Clear increase in manic symptoms with prejudice interpretations. The patient presents increased activity and irritability. PPM1M 100mg administered around 11h. Reduction of paliperidone to 6mg/day.
05.05.2021: 
Olanzapine increased to 10mg 1-1-1.
Discussion with another patient is reported at 11h. The patient receives olanzapine 10mg at 11:30h (advanced from lunch).
Anger persists during the afternoon-evening and the patient is irritable.</t>
  </si>
  <si>
    <t>11:20h</t>
  </si>
  <si>
    <t>46h 44m 23s</t>
  </si>
  <si>
    <t>Olanzapine 10-10-10
Lithium 400-0-600
Paliperidone 0-0-3
Flurazepam 30mg 0-0-1
Clonazepam 0.5mg 1-1-1
Biperiden R 4mg 1-0-0
Nicotina (percutaneous) 14mg</t>
  </si>
  <si>
    <t>10.05.2021: -
11.05.2021: intense exercise of 2-3 min at 12:45h. 
12.05.2021: -</t>
  </si>
  <si>
    <t>10.05.2021: Moderate  episodes of irritability at 18:35h (with other inmate), and at 19:05h (phone argument with wife).
11.05.2021: 
During the day he is seen hypomanic by nurses.
12.05.2021: -</t>
  </si>
  <si>
    <t>01.06.2021</t>
  </si>
  <si>
    <t>13:25h</t>
  </si>
  <si>
    <t>50h</t>
  </si>
  <si>
    <t xml:space="preserve">Lithium 400-0-800
Paliperidone 3mg 0-0-1
Clonazepam 0.5mg 0-0-1
PPM1M (next administration 04.06.2021)      </t>
  </si>
  <si>
    <t>01.06.2021: -
02.06.2021: -
03.06.2021: -</t>
  </si>
  <si>
    <t>01.06.2021: 
flatulence is reported.
02.06.2021: 
03.06.2021: -</t>
  </si>
  <si>
    <t>Argentina. Manic episode in patient with long-term BD. Manic episode while using amphetamines.</t>
  </si>
  <si>
    <t>24.06.1980</t>
  </si>
  <si>
    <t>Yes
(THC daily;
OH sporadic;
Stimulants occasionally - Cocaine, amphetamine)</t>
  </si>
  <si>
    <t>Yes (idem)</t>
  </si>
  <si>
    <t>Bipolar Disorder type I.
First admission on 2017 (4 years ago)</t>
  </si>
  <si>
    <t>Manic episode with psychotic features while using amphetamines in patient with long-term BD.</t>
  </si>
  <si>
    <t>15:10h</t>
  </si>
  <si>
    <t>47h</t>
  </si>
  <si>
    <t>Perphenazine 8mg 0-0-1
Lithium 400mg 1-0-1
Aripiprazol 15mg 1-0-1
Aripiprazol 400mg ILD administered the 17/06/21)
Clonazepam 0.5mg 2-2-0 (reduced to 1mg/day - administered at nigth on the 18th).</t>
  </si>
  <si>
    <t>16.06.2021: -
17.06.2021: -
18.06.2021: -</t>
  </si>
  <si>
    <t>16.06.2021: dizziness at sunset with normal vital signs. Somnolence at sunset (clonazepam is not administered)
17.06.2021: -
18.06.2021: -</t>
  </si>
  <si>
    <t>13:05h</t>
  </si>
  <si>
    <t>Perphenazine 8mg 0-0-1
Litihium 400mg 1-0-1 (increased to 400-0-600mg on the 23.06.2021)
Aripiprazol 15mg 1-0-1
Clonazepam 0.5mg 0-0-2</t>
  </si>
  <si>
    <t>21.06.2021: -
22.06.2021: -
23.06.2021: -</t>
  </si>
  <si>
    <t>11:50h</t>
  </si>
  <si>
    <t>**INCIDENT**
The device has been ON/OFF and 7 sessions have been registered corresponding to this patient:
1320424
1320431
1320430
1320427
1320426
1320440
1320437</t>
  </si>
  <si>
    <t>Fragmented: total around 30-35h</t>
  </si>
  <si>
    <t>Perphenazine 8mg 0-0-1
Litihium 400mg 1-0-1.5 
Aripiprazol 15mg 1-0-1
Clonazepam 0.5mg 0-0-1
Olanzapine 10mg administered at night due to insomnia on the 29 and 30.06.2021</t>
  </si>
  <si>
    <t>29.06.2021: Olanzapine 10mg administered at night due to insomnia
30.06.2021: Olanzapine 10mg administered at night due to insomnia
01.07.2021: discharge from hospitalization
**The patient wears off E4 device due to discomfort. He turns it off and on alternatively.
He is beginning to present acathisia, which will become more manifest the days after discharge.</t>
  </si>
  <si>
    <t>18.11.2021</t>
  </si>
  <si>
    <t>16h</t>
  </si>
  <si>
    <t>Litihium 400mg 1-0-1.5
Perphenazine 12mg 0-0-1</t>
  </si>
  <si>
    <t xml:space="preserve">18.11.2021: Moderate exercise; Bicycle
19:11:2021: </t>
  </si>
  <si>
    <t>18.11.2021:THC use around 18h
19.11.2021:THC use around 18h</t>
  </si>
  <si>
    <t xml:space="preserve">Venezuela. First Manic episode </t>
  </si>
  <si>
    <t>22.06.1999</t>
  </si>
  <si>
    <t>yes (treated syphilis)</t>
  </si>
  <si>
    <t>Yes (OH, metamphetamine, ketamine, cocaine)</t>
  </si>
  <si>
    <t>No contact with psychiatrist (probable hypomania without drug use reported)</t>
  </si>
  <si>
    <t>02.07.2021</t>
  </si>
  <si>
    <t>11.55h</t>
  </si>
  <si>
    <t>Aripiprazole 15mg 1-0-0 
Olanzapine 10mg 1-0-1</t>
  </si>
  <si>
    <t>02.07.2021: -
03.07.2021: -
04.07.2021: some</t>
  </si>
  <si>
    <t>02.07.2021: -
03.07.2021: -
04.07.2021: -</t>
  </si>
  <si>
    <t>07.07.2021</t>
  </si>
  <si>
    <t>11:40h</t>
  </si>
  <si>
    <t>Aripiprazole 15mg 2-0-0 
Olanzapine 10mg 1-0-1
Lithium 400mg 0.5-0-1</t>
  </si>
  <si>
    <t>07.07.2021: -
08.07.2021: -
09.07.2021: -</t>
  </si>
  <si>
    <t>07.07.2021: -
08.07.2021: lumbar puncture at 12:45h for study
09.07.2021: -</t>
  </si>
  <si>
    <t>28.07.2021</t>
  </si>
  <si>
    <t>09:45h</t>
  </si>
  <si>
    <t>Aripiprazole 30mg 1-0-0 
Olanzapine 10mg 1-0-2
Lithium 400mg 1-0-1</t>
  </si>
  <si>
    <t>28.07.2021: -
29.07.2021: -
30.07.2021: -</t>
  </si>
  <si>
    <t>23.12.2021</t>
  </si>
  <si>
    <t>15:00h</t>
  </si>
  <si>
    <t>Litio 400mg 1-0-1.5
Lurasidona 37mg 1-0-0</t>
  </si>
  <si>
    <t>22.12.2021:- Inicio nueva medicacion/stpo Aripirazol</t>
  </si>
  <si>
    <t xml:space="preserve">patient  </t>
  </si>
  <si>
    <t>T2, T3</t>
  </si>
  <si>
    <t>Paraguay</t>
  </si>
  <si>
    <t>15.08.1996</t>
  </si>
  <si>
    <t>Yes, THC</t>
  </si>
  <si>
    <t>BD Type I manic episode//
Schizoaffective disorder
First admission 08/2017
Total 3 admissions</t>
  </si>
  <si>
    <t>BD Type I manic episode</t>
  </si>
  <si>
    <t>16.11.2021</t>
  </si>
  <si>
    <t>Olanzapina 10mg 
Asenapina 10mg 0-0-1
Litio 400mg 1-0-1
Aripiprazol 15mg 1-0-0</t>
  </si>
  <si>
    <t>25.11.2021</t>
  </si>
  <si>
    <t>Litio 400mg 1-0-1
Flurazepam 30mg 0-0-1
Asenapina 10mg 0-0-1</t>
  </si>
  <si>
    <t>First Manic episode</t>
  </si>
  <si>
    <t>10.07.1991</t>
  </si>
  <si>
    <t>Female</t>
  </si>
  <si>
    <t>First Manic episode with psychotic symptoms</t>
  </si>
  <si>
    <t>24.11.2021</t>
  </si>
  <si>
    <t xml:space="preserve">Litio 200mg 1-0-1
Aripiprazol 15mg  1-0-0
Olanzapina 10mg 0-0-1
Flurazepam 30 mg 0-0-1 </t>
  </si>
  <si>
    <t>Pocos días toma medicación noche Flurazepam</t>
  </si>
  <si>
    <t>03.12.2021</t>
  </si>
  <si>
    <t>Olanzapina 5 mg 1-1-0
Olanzapina 10mg 0-0-1
Litio 400-0-600
Aripiprazol 30mg 1-0-0
Flurazepam 30mg 0-0-1</t>
  </si>
  <si>
    <t>10.12.2021</t>
  </si>
  <si>
    <t>Olanzapina 5 mg 1-1-0
Olanzapina 10mg 0-0-1
Litio 400-0-400
Aripiprazol 30mg 1-0-0
Flurazepam 30mg 0-0-1</t>
  </si>
  <si>
    <t>Ricardo 
Minimizador cuando actigrafo, explica delirio días despues</t>
  </si>
  <si>
    <t>20.08.2000</t>
  </si>
  <si>
    <t>First manic episode 09/2020 
requires admission HCB</t>
  </si>
  <si>
    <t>Manic episode with psychotic features</t>
  </si>
  <si>
    <t>14.01.2022</t>
  </si>
  <si>
    <t>A042FB</t>
  </si>
  <si>
    <t>46
Se quita actigrafo durante periodos largos por la noche</t>
  </si>
  <si>
    <t xml:space="preserve">Asenapina 5-0-10mg
Aripiprazol 15mg 1-0-0
Acido Valproico 500mg 1-0-1
</t>
  </si>
  <si>
    <t>27.01.2022</t>
  </si>
  <si>
    <t>Olanzapina 10mg 0-0-1
Olanzapina 5mg 1-1-0
Paliperidona 12mg 1-0-0
Flurazepam 30mg 0-0-1
Acido Valproico 500mg 1-0-1</t>
  </si>
  <si>
    <t>17.02.2022</t>
  </si>
  <si>
    <t>Olanzapina 10mg 0-0-1
Olanzapina 5mg 0-1-0
Litio 600mg 1-0-1
Lormetazepam 1mg 0-0-1</t>
  </si>
  <si>
    <t>Anne</t>
  </si>
  <si>
    <t>05.09.2000</t>
  </si>
  <si>
    <t>BD Type I
Debut adolescencia
Fist admission at 15 years</t>
  </si>
  <si>
    <t>INT001</t>
  </si>
  <si>
    <r>
      <t>A0349B</t>
    </r>
    <r>
      <rPr>
        <sz val="11"/>
        <color rgb="FF333333"/>
        <rFont val="Lato"/>
        <charset val="1"/>
      </rPr>
      <t> </t>
    </r>
  </si>
  <si>
    <t>Litio 400mg-0-800mg
Aripiprazol 15mg 1-0-0</t>
  </si>
  <si>
    <t>21.01.2022</t>
  </si>
  <si>
    <t>Litio 400mg-0-800mg Aripiprazol 15mg 1-0-0</t>
  </si>
  <si>
    <t>28/01/2022</t>
  </si>
  <si>
    <t>28/04/2022</t>
  </si>
  <si>
    <t>Osama</t>
  </si>
  <si>
    <t>05.12.1996</t>
  </si>
  <si>
    <t>Yes (THC)
8/10 UPE/día</t>
  </si>
  <si>
    <t>Yes (THC) 1UPE/día desde hace un año</t>
  </si>
  <si>
    <t>primer brote psicotico con catacterísticas maniformes</t>
  </si>
  <si>
    <t>01.02.2022</t>
  </si>
  <si>
    <t>A04D4B</t>
  </si>
  <si>
    <t>26
Valid first 26h 
Registration valid until  02/02 at 14:50</t>
  </si>
  <si>
    <t xml:space="preserve">Levomepromazine  25g-0-50g
Haloperidol 5g-10g-0
Olanzapina 10mg 1-1-1
Clonazepam 2mg 1-1-1 </t>
  </si>
  <si>
    <t>Oriol</t>
  </si>
  <si>
    <t>28.05.1981</t>
  </si>
  <si>
    <t>TUS OH , THC y juego patologico</t>
  </si>
  <si>
    <t>BD Type I
Debut 2020 episodio mania
2 ingresos en 2021</t>
  </si>
  <si>
    <t>Manic episode</t>
  </si>
  <si>
    <t>INT004</t>
  </si>
  <si>
    <t>A043B1</t>
  </si>
  <si>
    <t>Olanzapina 20mg 0-1-1 Clotiapina 40mg 0-0-1 Litio 600mg 1-0-1 Aripiprazon 15mg 0-1-0</t>
  </si>
  <si>
    <t>15.02.2022</t>
  </si>
  <si>
    <t xml:space="preserve">Olanzapina 20mg 0-0-1
Clotiapona 40mg  0-0-1
Litio 400mg 1.5-0-1.5
Abilify maintena 400mg  </t>
  </si>
  <si>
    <t>David</t>
  </si>
  <si>
    <t>24.02.1981</t>
  </si>
  <si>
    <t>VIH
Hepatitis C aguda (curada 2013)
Miocardiopatia dilatada no isquemica</t>
  </si>
  <si>
    <t>2016 First Hipomanic episode
2018 First admission Manic episode</t>
  </si>
  <si>
    <t xml:space="preserve"> Manic episode with psychotic symptoms</t>
  </si>
  <si>
    <t>07.02.2022</t>
  </si>
  <si>
    <t xml:space="preserve">Olanzapina 5mg 0-0-1
Aripiprazol 15mg 1-0-0
</t>
  </si>
  <si>
    <t>Medication changes. End.... Start Litio medication</t>
  </si>
  <si>
    <t>A044C3</t>
  </si>
  <si>
    <t>Olanzapina 5mg 1-0-2
Litio 400mg 1-0-1
Aripiprazol 20mg 1-0-0
Flurazepam 30mg 0-0-1</t>
  </si>
  <si>
    <t>Día 1: retiran Olanzapina mediodia
Día 2: Retiran Olanzapina mañanas</t>
  </si>
  <si>
    <t>09.03.2022</t>
  </si>
  <si>
    <t>Olanzapina 2.5mg 0-1-1
Litio 400-600mg
Lormetazepam 2mg 0-0-1</t>
  </si>
  <si>
    <t>Pacient</t>
  </si>
  <si>
    <t>Julio</t>
  </si>
  <si>
    <t>17.05.1963</t>
  </si>
  <si>
    <t xml:space="preserve">Esteatosis hepática
Riñon poliquístico
</t>
  </si>
  <si>
    <t>Yes (OH)
Juego patologico</t>
  </si>
  <si>
    <t>BD type I 
años de evlución</t>
  </si>
  <si>
    <t>Risperidona 1-1-2mg
Acido valproico 500mg 1-01</t>
  </si>
  <si>
    <t>27.02.2022</t>
  </si>
  <si>
    <t>Risperidona 3mg 1-0-1
Acido valproico 500mg 1-0-1
Olanzapina 10mg 0-0-1</t>
  </si>
  <si>
    <t>María</t>
  </si>
  <si>
    <t>17.03.1994</t>
  </si>
  <si>
    <t>2018 PEP+ primer ingreso
Diciembre 2021 2n ingreso episodio psicótico, cambia Dx a Esquizoafectivo
Enero 2022 3r ingreso episodio psicótico</t>
  </si>
  <si>
    <t>23.02.2022</t>
  </si>
  <si>
    <t>Olanzapina 5-5-10mg
Litio 400mg-0-600mg
Paliperidona 9mg 0-0-1
Flurazepam 30mg 0-0-1
Clonazepam 1mg 0-1-1</t>
  </si>
  <si>
    <t>Olanzapina 10mg 0-0-1
Litio 600mg 1-0-1
Paliperidona 9mg 0-0-1
Flurazepam 30mg 0-0-1
Clonazepam 1mg 0-0-1</t>
  </si>
  <si>
    <t>Paciente</t>
  </si>
  <si>
    <t>Maider</t>
  </si>
  <si>
    <t>24.08.1974</t>
  </si>
  <si>
    <t>Hipercolesteremia, Hipotiroidisme subclinic</t>
  </si>
  <si>
    <t>BD Type I
One admission 2017</t>
  </si>
  <si>
    <t>16.03.2022</t>
  </si>
  <si>
    <t>Olanzapina 10mg 0-0-1
Olanzapina 5mg 1-0-0
Litio 200mg 1-0-1
Aripiprazon 30mg 1-0-0
Oxcarbazepina 300mg 1-1-1</t>
  </si>
  <si>
    <t>Introducción de oxcarbazepina a partir del 16/03 por la noche. pauta después 1-1-1</t>
  </si>
  <si>
    <t>25.03.2022</t>
  </si>
  <si>
    <t>Litio 400mg 1-0-1
Aripiprazol 30mg 1-0-0
Oxcarbazepina 300-0-600mg</t>
  </si>
  <si>
    <t>Katja</t>
  </si>
  <si>
    <t>28.02.1966</t>
  </si>
  <si>
    <t>BD Type II</t>
  </si>
  <si>
    <t>INT010</t>
  </si>
  <si>
    <t>29.03.2022</t>
  </si>
  <si>
    <t>Olanzapina 10mg 0-0-1
Olanzapina 5mg 1-1-0
Litio 400mg 1-0-1
Aripiprazol 15mg 1-0-0</t>
  </si>
  <si>
    <t>05.04.2022</t>
  </si>
  <si>
    <t>Olanzapina 10mg 0-0-1
Asenapina 10mg 0-0-1
Litio 400mg 1-0-1
Aripiprazol 10mg 1-0-0</t>
  </si>
  <si>
    <t xml:space="preserve">Núria </t>
  </si>
  <si>
    <t>04.06.1962</t>
  </si>
  <si>
    <t>neoplasia de mama derech</t>
  </si>
  <si>
    <t>BD Type vs Tr. esquizoafectivo
Multiples ingresos ultimo en 2021</t>
  </si>
  <si>
    <t>Tr. esquizoafectivo tipos bipolar</t>
  </si>
  <si>
    <t>1502756
1502776
1502758</t>
  </si>
  <si>
    <t>27
Error en la descarga de datos en el codigo del actígrafo (HW 000000)</t>
  </si>
  <si>
    <t>Olanzapina 5-0-10
Quetioapina 100mg 0-0-1
Litio 400mg 1-0-1</t>
  </si>
  <si>
    <t xml:space="preserve">Silvia </t>
  </si>
  <si>
    <t>21.04.1981</t>
  </si>
  <si>
    <t>Pleuritis TBC
Hipotiroidismo</t>
  </si>
  <si>
    <t>Yes 
(THC, cocaina, OH)</t>
  </si>
  <si>
    <t>TR esquizoafectivo tipo Bipolar
1r episodio psicotico en 2002
Multiples ingresos</t>
  </si>
  <si>
    <t>Tr. esquizoafectivo tipo bipolar</t>
  </si>
  <si>
    <t>A04A16</t>
  </si>
  <si>
    <t>1502658
1502669
1502670
1502667
1502668
1502664
1502666
1502661
1502665
1502659
1502663
1502657
1502662
1502656
1502660</t>
  </si>
  <si>
    <t>15
Muchas sesiones cortas</t>
  </si>
  <si>
    <t>Haloperidol 5mg 5-0-5-5
Clozapina 200 0-0-1
Clozapina 25 2-1-1
Quetioapina 200 0-0-1
Quetiapina 50 1-1-0
Clotiapina 40 0-0-1
Clorazepato 15 1-1-0</t>
  </si>
  <si>
    <t>Sin información de esta escala (impossible preguntar a la paciente)</t>
  </si>
  <si>
    <t>HDOM after admission in acute hospitalization unit; Venezuela. First psychotic episode with mixed symptoms.
Ingressa de nou, no participa en el segon ingrés</t>
  </si>
  <si>
    <t>25.06.1996</t>
  </si>
  <si>
    <t>No contact with psychiatrist previous to current  admission (probable prior depression)</t>
  </si>
  <si>
    <t>First psychotic episode with mixed symptoms.
Currently: Major Depressive Episode post-mania with mixed symptoms.</t>
  </si>
  <si>
    <t>14.07.2021</t>
  </si>
  <si>
    <t>Lithium 400mg 0.5-0-1 (increased to 1-0-1 on the 15.07
Risperidone 6mg 0-0-1
Biperiden R 4mg 1-0-0
Carvedilol 6.25mg 1-0-1</t>
  </si>
  <si>
    <t>14.07.2021: -
15.07.2021: -
16.07.2021: -</t>
  </si>
  <si>
    <t>03.08.2021</t>
  </si>
  <si>
    <t>Lithium 400mg 1-0-1.5 
Lurasidone 37.5mg 0-0-1
Carvedilol 6.25mg 1-0-1</t>
  </si>
  <si>
    <t>03.08.2021: -
04.08.2021: -
05.08.2021: -</t>
  </si>
  <si>
    <t>17.08.2021</t>
  </si>
  <si>
    <t>Lithium 400mg 1-0-1.5 
Lurasidone 56mg 0-0-1
Carvedilol 6.25mg 1-0-1
Quetiapine 25mg 0-0-1
Vitamin D 400 UI</t>
  </si>
  <si>
    <t>17.08.2021: -
18.08.2021: -
19.08.2021: -</t>
  </si>
  <si>
    <t>Paciente Dr. valentí
simptomatologia Lleu</t>
  </si>
  <si>
    <t>11.02.1997</t>
  </si>
  <si>
    <t>Hepatitis tòxica per Clozapina
psoriasis</t>
  </si>
  <si>
    <t>Bipolar Disorder Type I debut adolescencia
TEC desde 2014</t>
  </si>
  <si>
    <t>mixed episode</t>
  </si>
  <si>
    <t>Haloperidol 3mg-0-5mg
Quetiapina 100mg 0-0-1
Quetiapina 50mg 0-0-1
Asenapina 5 mg -0- 10 mg
Litio 400mg 1-0-1
Biperideno 4mg 1-0-0</t>
  </si>
  <si>
    <t>Haloperidol 3mg-0-5mg
Quetiapina 100mg 0-0-1
Quetiapina 50mg 0-0-1
Asenapina 5 mg -0- 10 mg
Litio 400mg 1-0-1
Litio 200mg 0-0-1
Biperideno 4mg 1-0-0</t>
  </si>
  <si>
    <t>07.03.2022</t>
  </si>
  <si>
    <t>Asenapina 10 mg 0-0-1
Quetiapina 100 mg 0-0-1
Litio 400 mg 1-0-1´5
Haloperidol gotes 30-0-50</t>
  </si>
  <si>
    <t>Humbert (pacient Diego)
EUTIMICO</t>
  </si>
  <si>
    <t>4896703 </t>
  </si>
  <si>
    <t>18.12.1944</t>
  </si>
  <si>
    <t xml:space="preserve">
Insuficiencia renal</t>
  </si>
  <si>
    <t xml:space="preserve">Eutimia </t>
  </si>
  <si>
    <t>04.02.2022</t>
  </si>
  <si>
    <t>(04.02.22)
1445479
(05.02.22)
1445489
(06.02.22)
1445491</t>
  </si>
  <si>
    <t>Aripiprazole 10mg 1-0-0 
Quetiapina 25mg 0-0-3
Lamotrigina 250mg 0-0-1
Venlafaxina 150mg 1-0-0</t>
  </si>
  <si>
    <t>Andrea (pacient Diego)
EUTIMICA</t>
  </si>
  <si>
    <t>01.06.1975</t>
  </si>
  <si>
    <t>Hipoacusia</t>
  </si>
  <si>
    <t>BD  Type II
12 años intento autolitico sobreingesta medicamentosa.
15 años TCA</t>
  </si>
  <si>
    <t>INT003</t>
  </si>
  <si>
    <t>08.02.2022</t>
  </si>
  <si>
    <t xml:space="preserve">A0349B </t>
  </si>
  <si>
    <t>Litio 400mg 1-0-1
Fluoxetina 10mg 1-0-0
Olanzapina 5mg 0-0-1</t>
  </si>
  <si>
    <t>Day 1: intense exercise (Running) 17:30-19:30</t>
  </si>
  <si>
    <t>Day 1: From 8 to 9h, 4 coffees
Day 2: From 8 to 9h, 4 coffees</t>
  </si>
  <si>
    <t>Juan carlos 
Pacient Marc Valentí
EUTIMICO</t>
  </si>
  <si>
    <t>07.04.1977</t>
  </si>
  <si>
    <t>BD No especificado
Diagnostico en 2006
Un ingreso por episodio depresivo
Episodios dep y hipomaniacos</t>
  </si>
  <si>
    <t>INT002</t>
  </si>
  <si>
    <t>Litio 400mg 1.5-0-1
Lamotrigina 100mg 1-0-1
Vortioxetina 5mg 1-0-0</t>
  </si>
  <si>
    <t>Day 1: 2 coffees at 9h and 15h
Day 2: Coffe at 10h. Energy drink at 18h</t>
  </si>
  <si>
    <t>David (pacient Marc valentí)
EUTIMICO</t>
  </si>
  <si>
    <t>18.11.1967</t>
  </si>
  <si>
    <t>BD Type I
First admission manic episode 2007.
4 admissions +.</t>
  </si>
  <si>
    <t>INT006</t>
  </si>
  <si>
    <t>Acido valproico 500mg 0-0-2
Abilify maintena 300mg / 4 set</t>
  </si>
  <si>
    <t>Fernando
Dra. Cavero
EUTIMIA</t>
  </si>
  <si>
    <t>25.11.1961</t>
  </si>
  <si>
    <t>Migraña cormica</t>
  </si>
  <si>
    <t>TD recurrente</t>
  </si>
  <si>
    <t>INT008</t>
  </si>
  <si>
    <t>30.03.2022</t>
  </si>
  <si>
    <t>Lorazepam 1mg
Venlafaxina 75mg</t>
  </si>
  <si>
    <t xml:space="preserve">Day 1: 1 coffe at 18h
</t>
  </si>
  <si>
    <t>Mariana Carolina</t>
  </si>
  <si>
    <t>03.01.1961</t>
  </si>
  <si>
    <t>TB</t>
  </si>
  <si>
    <t>Acido valproico 500mg 1-0-1
Quetiapina 25mg 0-0-1
Vortioxetina 5mh 1-0-0</t>
  </si>
  <si>
    <t>Soledad</t>
  </si>
  <si>
    <t>02.06.1961</t>
  </si>
  <si>
    <t>TB II</t>
  </si>
  <si>
    <t>INT</t>
  </si>
  <si>
    <t>01.04.2022</t>
  </si>
  <si>
    <t>Acido valproico 500mg 0-0-1
Acido valproico 300mg  0-0-1
Venlafaxina 150mg  1-0-0
Quetiapina 300mg 0-0-1</t>
  </si>
  <si>
    <t>.</t>
  </si>
  <si>
    <t>Day 2: Sleep more than usual</t>
  </si>
  <si>
    <t>Maria Jesús 
(EUTIMIA DM)</t>
  </si>
  <si>
    <t>07.01.1962</t>
  </si>
  <si>
    <t>Colitis ulcerosa</t>
  </si>
  <si>
    <t>Escitalopram 20mg 1-0-0
gabapentina 400mg 1-0-1
Quetiapina 150 0-0-1
Clomipramina 75mg 0-0-2</t>
  </si>
  <si>
    <t xml:space="preserve">Día 1 y 2: Condumo de café a las 11h </t>
  </si>
  <si>
    <t>Biruk</t>
  </si>
  <si>
    <t>15..03.1999</t>
  </si>
  <si>
    <t>hepatoesplenomegalia
Hipertiroidismo subclínico</t>
  </si>
  <si>
    <t>TB I
1 ingreso en 2004</t>
  </si>
  <si>
    <t>20.04.2022</t>
  </si>
  <si>
    <t>Litio 400mg 1-0-1</t>
  </si>
  <si>
    <t>Día 2: de 15 a 22h es coloca dispositiu al turmell (zona del pols pedi) per trebalar</t>
  </si>
  <si>
    <t>Montserrat</t>
  </si>
  <si>
    <t>25.03.1970</t>
  </si>
  <si>
    <t>fractura clavícula derecha</t>
  </si>
  <si>
    <t>TB NE
1 ingreso en 2018 episodio depresivo</t>
  </si>
  <si>
    <t>INT013</t>
  </si>
  <si>
    <t>Litio 400mg 1-0-1,5
Asenapina 5mg 0-0-1</t>
  </si>
  <si>
    <t>Día 1: 50 min bici estatica</t>
  </si>
  <si>
    <t>Día 2: Coca-cola comidaDia 1 y 2: tabaco 10/12 cigarrilos</t>
  </si>
  <si>
    <t>Control</t>
  </si>
  <si>
    <t>Brisa</t>
  </si>
  <si>
    <t>06.09.1978</t>
  </si>
  <si>
    <t>Yes,  asthma</t>
  </si>
  <si>
    <t>27.09.2021</t>
  </si>
  <si>
    <t>13:30h</t>
  </si>
  <si>
    <t>Revinty ellipta 92/22</t>
  </si>
  <si>
    <t>27.09.21: Skating class 1h
28.09.21:
30.09.21:</t>
  </si>
  <si>
    <t>27.09.21: Difficulties sleeping/awakening
28.09.21:
30.09.21:</t>
  </si>
  <si>
    <t>Laura</t>
  </si>
  <si>
    <t>08.06.1990</t>
  </si>
  <si>
    <t>Derek</t>
  </si>
  <si>
    <t>23.08.1989</t>
  </si>
  <si>
    <t>01.10.2021</t>
  </si>
  <si>
    <t>11:00h</t>
  </si>
  <si>
    <t>No events</t>
  </si>
  <si>
    <t>Gerard</t>
  </si>
  <si>
    <t>13.10.1991</t>
  </si>
  <si>
    <t>16.03.2021</t>
  </si>
  <si>
    <t>17:40h</t>
  </si>
  <si>
    <t>16.03.2021: moderate exercise from 23:45 to 00:10h
17.03.2021: intense exercise (running) from 18:30 to 20:20h
18.03.2021: -</t>
  </si>
  <si>
    <t>Diego</t>
  </si>
  <si>
    <t>09.09.1981</t>
  </si>
  <si>
    <t>18.02.2021</t>
  </si>
  <si>
    <t>12:50h</t>
  </si>
  <si>
    <t>18.02.2021: -
19.02.2021: -
20.02.2021: -</t>
  </si>
  <si>
    <t>Elsa</t>
  </si>
  <si>
    <t>09.07.1993</t>
  </si>
  <si>
    <t>14.10.2021</t>
  </si>
  <si>
    <t>15.10.2021 Varios despertares por la noche
15.10.2021  2 UBE 19:30-21h</t>
  </si>
  <si>
    <t xml:space="preserve">Santi
</t>
  </si>
  <si>
    <t>18.01.1990</t>
  </si>
  <si>
    <t>12.11.2021</t>
  </si>
  <si>
    <t>46*
Resgitration valid until 1:30 am</t>
  </si>
  <si>
    <t>13.11.2021 Oh use from 21 to 2h (5UBE)
13.11.2021 Resistration valid until 01.30am</t>
  </si>
  <si>
    <t>Gisela</t>
  </si>
  <si>
    <t>25.11.1989</t>
  </si>
  <si>
    <t>Yes
Tension headache</t>
  </si>
  <si>
    <t>01.12.2021</t>
  </si>
  <si>
    <t>Flor</t>
  </si>
  <si>
    <t>13.01.1989</t>
  </si>
  <si>
    <t>Michelle</t>
  </si>
  <si>
    <t>12.08.1992</t>
  </si>
  <si>
    <t>Yes, asthma</t>
  </si>
  <si>
    <t>16.12.2021</t>
  </si>
  <si>
    <t>18.12.2021:  Oh use at 14h (1UBE)
2:30h Sexual relationship</t>
  </si>
  <si>
    <t>Sergi</t>
  </si>
  <si>
    <t>11.07.1987</t>
  </si>
  <si>
    <t>18.12.2021</t>
  </si>
  <si>
    <t>Silvia</t>
  </si>
  <si>
    <t>19.10.1988</t>
  </si>
  <si>
    <t>Hipotiroidismo</t>
  </si>
  <si>
    <t>20.12.2021</t>
  </si>
  <si>
    <t>levotiroxina (eutirox)</t>
  </si>
  <si>
    <t>20.12.2021: Moderna vaccine 9am
21.12.2021: Oh us from 13:30-14:30 (1UBE)</t>
  </si>
  <si>
    <t>Maria</t>
  </si>
  <si>
    <t>24.02.1994</t>
  </si>
  <si>
    <t>Ariadna</t>
  </si>
  <si>
    <t>28 .05.1989</t>
  </si>
  <si>
    <t>MCDR</t>
  </si>
  <si>
    <t>27.10.1943</t>
  </si>
  <si>
    <t>Seguimiento Reumatologo
Operaciones: Apendicitis, menisco, oclusión intestinal</t>
  </si>
  <si>
    <t>Calcio
Vitamina D
Prolia 1 inyec/6 meses</t>
  </si>
  <si>
    <t>Day 1: 9h 1 coffe, 21h OH 1 UBE
Day 2: 9h 1  coffe, 21h OH 1 UBE</t>
  </si>
  <si>
    <t>LNP</t>
  </si>
  <si>
    <t>03.03.1948</t>
  </si>
  <si>
    <t>Seguimiento endocrino
Operacion apendicitis, hernia inguinal, tiroides</t>
  </si>
  <si>
    <r>
      <t>A04D4B</t>
    </r>
    <r>
      <rPr>
        <sz val="11"/>
        <color rgb="FF333333"/>
        <rFont val="Lato"/>
        <charset val="1"/>
      </rPr>
      <t> </t>
    </r>
  </si>
  <si>
    <t>levotiroxina (eutirox) 100mcg/día</t>
  </si>
  <si>
    <t>XAD</t>
  </si>
  <si>
    <t>03.02.1994</t>
  </si>
  <si>
    <r>
      <t>A043C2</t>
    </r>
    <r>
      <rPr>
        <sz val="11"/>
        <color rgb="FF333333"/>
        <rFont val="Lato"/>
        <charset val="1"/>
      </rPr>
      <t> </t>
    </r>
  </si>
  <si>
    <t>Day 1: intense exercise (gym) From 13:30 to 15:30h
Day 2: intense exercise (gym) From 13:30 to 15:30h</t>
  </si>
  <si>
    <t>Day 1: 2 UBE OH. From 21h to 23h
Day 2: 1 Coffe. From 9 to 10</t>
  </si>
  <si>
    <t>GAD</t>
  </si>
  <si>
    <t>09.02.2022</t>
  </si>
  <si>
    <r>
      <t>A03576</t>
    </r>
    <r>
      <rPr>
        <sz val="11"/>
        <color rgb="FF333333"/>
        <rFont val="Lato"/>
        <charset val="1"/>
      </rPr>
      <t> </t>
    </r>
  </si>
  <si>
    <t>Day 1 (10/02) Preuba incremental
Day 2: (11/02): endurance
FIS Mitocondrial</t>
  </si>
  <si>
    <t>Day 1: 3 coffees. At 8:30h, 12h, 14h
Day 2: 3 coffees. At 8:30h, 12h, 14h</t>
  </si>
  <si>
    <t>MDS</t>
  </si>
  <si>
    <t>07.01.1961</t>
  </si>
  <si>
    <t>Trastorno Depresivo pasado</t>
  </si>
  <si>
    <t>Day 1: Intense exercise(bycicle). From 11h  to 13h
Day 2: Intense exercise (bycicle). From 18:30h ti 20h</t>
  </si>
  <si>
    <t>ELG</t>
  </si>
  <si>
    <t>15.09.1982</t>
  </si>
  <si>
    <t>10.03.2022</t>
  </si>
  <si>
    <t>Day 2:  Retira actigrafo de 7 a 8h para hacer deporte</t>
  </si>
  <si>
    <t>Day 1: 3 coffees. At 8h, 10:30h, 16h
Day 2 : 3 coffees. At 6:40, 10:30, 16h 
14h OH 2 UBE
Ambos días despertar norcturo sobre las 3/4h de la madrugada</t>
  </si>
  <si>
    <t>Consumo de tabaco de los 18 a los 29 años 1 paquete diario</t>
  </si>
  <si>
    <t>ADC</t>
  </si>
  <si>
    <t>11.12.1967</t>
  </si>
  <si>
    <t>alergia parietaria
Diverticulitis</t>
  </si>
  <si>
    <t>Cetirizina 10mg/día</t>
  </si>
  <si>
    <t>Día 1 y 2: Insomnio
Día 1: Siesta 19:30h-20h
Día 2: 16:15h- 16:45h
Consumo de tabaco los 2 días</t>
  </si>
  <si>
    <t>Consumo de tabaco 3-4 cigarrols/dia fin de semana el doble
Alcohol 3-4 copas de vino fin de semana</t>
  </si>
  <si>
    <t>Derek 2</t>
  </si>
  <si>
    <t>Día 1 y 2: Café a las 8h y a las 15h</t>
  </si>
  <si>
    <t>JC</t>
  </si>
  <si>
    <t>24.08.2001</t>
  </si>
  <si>
    <t>Día 2: Agobio 1:30h no podia dormir</t>
  </si>
  <si>
    <t>BLLN</t>
  </si>
  <si>
    <t>14.06.2000</t>
  </si>
  <si>
    <t>06.04.2022</t>
  </si>
  <si>
    <t>Día 1: 18h ejercicio moderado 45 min</t>
  </si>
  <si>
    <t>Día 1: 8.15h café / 21h agobio
Día 2: 12h nervios
entre las 21h-3h 4 UBEs</t>
  </si>
  <si>
    <t>AS</t>
  </si>
  <si>
    <t>18.03.1999</t>
  </si>
  <si>
    <t>11.04.2022</t>
  </si>
  <si>
    <t>Día 1: entre las 00 y las 3a.m. 3UBE</t>
  </si>
  <si>
    <t>Consumo  bajo de tabaco actual</t>
  </si>
  <si>
    <t>Gerard - Drug use (use other control register - row 13)</t>
  </si>
  <si>
    <t>18.02.2021: -
19.02.2021: -
20.02.2021: OH use from 21 to 01h. THC use around 00:20</t>
  </si>
  <si>
    <t>British. Manic episode in patient with Bipolar disorder</t>
  </si>
  <si>
    <t>28.11.1972</t>
  </si>
  <si>
    <t>yes</t>
  </si>
  <si>
    <t>Bipolar Disorder type I.
First admission on 2018</t>
  </si>
  <si>
    <t>Manic episode with psychotic symptoms in patient Bipolar Disorder type I</t>
  </si>
  <si>
    <t>07.10.2021</t>
  </si>
  <si>
    <t>**INCIDENT** The device has been ON/OFF and 13 sessions have been registered corresponding to this patient: 1380445 
1380427  
1380428  
1380420  
1380416 
1380497 
1380412 
1380474 
1380446  
1380500 
1380499 
1380498 
1380496</t>
  </si>
  <si>
    <t>Olanzapina 10mg 1-0-1
  Flurazepam 30mg 0-0-1
Acido Valproico 500mg 1-0-1</t>
  </si>
  <si>
    <t>18.10.2021</t>
  </si>
  <si>
    <t>1385245
1385243
1385244
1385242
1385241</t>
  </si>
  <si>
    <t>Olanzapina 10mg 1-1-1
Flurazepam 30mg 0-0-1
Ácido valproico 500-300-500</t>
  </si>
  <si>
    <t xml:space="preserve">T3 pending
T1, T2 
not valid  </t>
  </si>
  <si>
    <t>Venezuela.
 consumo  día de ingreso THC
Consumo de toxicos descontrolado hasta semana antes de ingreso</t>
  </si>
  <si>
    <t>09.10.1974</t>
  </si>
  <si>
    <t>VIH</t>
  </si>
  <si>
    <t>Yes</t>
  </si>
  <si>
    <t>Yes
Cocaina, Chemsex, THC, amphetamine</t>
  </si>
  <si>
    <t>BD Type I
TEC on 2020
3 admissions. Last admission on 08/21 manic epidose with psychotic features</t>
  </si>
  <si>
    <t>manic episode in patient with BD type I</t>
  </si>
  <si>
    <t>Haloperidol 5mg 1-1-1
Olanzapina 10 mg 0-0-1
Lito 400mg 1-0-0
Litio 600mg 0-0-1
Aripipriazol 30mg 1-0-0
Flurazepam 30mg 0-0-1</t>
  </si>
  <si>
    <t>21.10.21 En ayunas. Operación mandibula
Operacion de 12h a 18h aprox</t>
  </si>
  <si>
    <t>1390827
1390828
1390844
1390845
1390848
1390856</t>
  </si>
  <si>
    <t>26*
invalid registration</t>
  </si>
  <si>
    <t>Olanzapina 10 mg 0-0-1 
Lito 400mg 1-0-1
Flurazepam 30mg 0-0-1</t>
  </si>
  <si>
    <t>09.11.2021</t>
  </si>
  <si>
    <t>47*
invalid registration</t>
  </si>
  <si>
    <t>Olanzapina 10mg 0-0-1
Litio 400mg 1-0-1
Flurazepam 30mg 0-0-1</t>
  </si>
  <si>
    <t>Ecuador. 
Cicladora Rapida (Dr. valentí)</t>
  </si>
  <si>
    <t>19.08.1961</t>
  </si>
  <si>
    <t>Depressive episode in remission</t>
  </si>
  <si>
    <t>15.11.2021</t>
  </si>
  <si>
    <t>Fluoxetina 20mg 2-0-0
Valproato 500mg 0-0-1</t>
  </si>
  <si>
    <t>Pakistan. HDOM. Catatonia pending ECT.</t>
  </si>
  <si>
    <t>02.11.1991</t>
  </si>
  <si>
    <t>Arterial hypertension
sa
Retropharyngeal adenopathy (non-malignant)</t>
  </si>
  <si>
    <t>Yes (three previous depressive episode with psychotic symptoms. He performed ECT the last episode on 04/2021)</t>
  </si>
  <si>
    <t>Major depressive episode with psychotic features, inhibition and catatonia</t>
  </si>
  <si>
    <t>24.06.2021</t>
  </si>
  <si>
    <t>11:25h</t>
  </si>
  <si>
    <t>40h</t>
  </si>
  <si>
    <t>Clomipramine75mg 1-0-2 
Clonazepam 0.5mg 2-1-2 (increased to 2-2-2 on the 25.06)
Quetiapine 25-25-100mg
Enalapril 10mg 1-0-0</t>
  </si>
  <si>
    <t>24.06.2021: -
25.06.2021: -
26.06.2021: -</t>
  </si>
  <si>
    <t>06.07.2021</t>
  </si>
  <si>
    <t>10:10h</t>
  </si>
  <si>
    <t>Clomipramine
75mg 1-0-2 
Clonazepam 2 mg 0.5-0.5-0.5
Quetiapine 25-25-100mg
Enalapril 10mg 1-0-0
ECT (5 sessions)
**6th session on the 07.07.2021 - E4 has been removed and replaced after ECT***</t>
  </si>
  <si>
    <t>06.07.2021: none
07.07.2021: none
08.07.2021: none</t>
  </si>
  <si>
    <t>06.07.2021: (3rd ECT session on the 05.07)
07.07.2021: the patient performed his 4th ECT session. The E4 device was withdrawn during ECT and then put back.
08.07.2021: -</t>
  </si>
  <si>
    <t>SWITCH TO MANIA (in T2 from previous depressive episode, see row above)
Pakistan. HDOM. Catatonia pending ECT.</t>
  </si>
  <si>
    <t>SWITCH TO MANIA (in T2 from previous depressive episode, see row above)</t>
  </si>
  <si>
    <t>22.07.2021</t>
  </si>
  <si>
    <t>12:30h</t>
  </si>
  <si>
    <t>Olanzapine 10mg 0-0-1 (on the 22.07, after withdrawn)
Lormetazepam 2mg 0-0-1 (on the 22.07, after withdrawn)
Risperidone 1-0-3mg
Enalapril 10mg 1-0-0
Clomipramine 75mg 0-0-1 (on the 23.07 and 24.07 and so on).</t>
  </si>
  <si>
    <t>22.07.2021: -
23.07.2021: -
24.07.2021: -</t>
  </si>
  <si>
    <t>22.07.2021: hypomania with confusion symptoms?
23.07.2021: the patient performed his 9th ECT session. The E4 device was withdrawn during ECT and then put back.
Hypomanic symptoms not clearly present.
24.07.2021: -</t>
  </si>
  <si>
    <t>NA</t>
  </si>
  <si>
    <t>UK. Bipolar Disorder Type 1. Manic episode.
INCOMPLETE due to mechanical restriction. ONLY T0.</t>
  </si>
  <si>
    <t>26.08.1994</t>
  </si>
  <si>
    <t>Yes (asthma)</t>
  </si>
  <si>
    <t>Yes (BD type I. First manic episode with psychotic symptoms in 2018. Prior treatment with quetiapine 100mg).</t>
  </si>
  <si>
    <t>Manic episode with psychotic symptoms</t>
  </si>
  <si>
    <t>12.05h</t>
  </si>
  <si>
    <t>Valid measures from 12h till 12:48h (mechanical restraint and removal of device)
10h
MONITROING INTERRUPTED THE FIRST HOURS DUE TO MANIC AGITATION AND MECHANICAL RESTRAINT</t>
  </si>
  <si>
    <t>Levomepromazine 25mg 1-1-2 
Olanzapine 10mg 1-0-2
Clothiapine 40mg 0-0-1
Aripiprazol 15mg 2-0-0
Clonazepam 2mg 1-1-1
Flurazepam 30mg 0-0-0-1</t>
  </si>
  <si>
    <t>02.07.2021: -
03.07.2021: non valid
04.07.2021: non valid</t>
  </si>
  <si>
    <t>02.07.2021: mechanical restraint at 12:48h
03.07.2021: non valid
04.07.2021: non valid</t>
  </si>
  <si>
    <t>Discontinued, the patient requires occasional mechanical restraint</t>
  </si>
  <si>
    <t xml:space="preserve">Catalan. Bipolar Disorder Type II. Debut 21 </t>
  </si>
  <si>
    <t>15.04.1985</t>
  </si>
  <si>
    <t>no</t>
  </si>
  <si>
    <t>Bipolar Disorder Type II Debut 21</t>
  </si>
  <si>
    <t>Depressive episode in patient whit BD type II Hypomania?</t>
  </si>
  <si>
    <t>29.09.21</t>
  </si>
  <si>
    <t>16:30h</t>
  </si>
  <si>
    <t>Quetiapina 100mg 0-0-1 
Litio Carbonato 200-0-400mg 
Diazepam 5mg  0-0-1
Flurazepam 30mg  
Lamotrigina 25mg 1-0-0</t>
  </si>
  <si>
    <t>29.09.21 Alarma la despierta 5a.m. Alterada/despertares 
30.09.21 rescate medicación insomnio
01.10.21</t>
  </si>
  <si>
    <t>15.10.2021</t>
  </si>
  <si>
    <t>Quetiapina 100mg 0-0-1
Litio 400mg 1-0-1</t>
  </si>
  <si>
    <t>17.10.2021 Exursión a las 12h</t>
  </si>
  <si>
    <t>16.10.21 Toma Café 17h (después de mucho tiempo sin consumo de cafeina)</t>
  </si>
  <si>
    <t>SUD of phentanil (transdermal - patches)</t>
  </si>
  <si>
    <t>- Opiate use (17.07)
 - Opiate withdrawal (18.07)
-  Induction of suboxone (19.07)</t>
  </si>
  <si>
    <t>17.07.2021</t>
  </si>
  <si>
    <t>17:52h</t>
  </si>
  <si>
    <t>1st, 2nd and 3rd day of suboxone induction (1st day overlapped with previous measure)</t>
  </si>
  <si>
    <t>19.07.2021</t>
  </si>
  <si>
    <t>12:13h</t>
  </si>
  <si>
    <t>T1,T2,T3</t>
  </si>
  <si>
    <t>paciente Clemente</t>
  </si>
  <si>
    <t>05.02.2000</t>
  </si>
  <si>
    <t>Yes (THC+Cocaina)</t>
  </si>
  <si>
    <t>Debut 20 años (2020) sintomatología psicotica
Dx Psicosis</t>
  </si>
  <si>
    <t>psicosis</t>
  </si>
  <si>
    <t>Clozapina 250mg</t>
  </si>
  <si>
    <t>Psicosis Sala (Ricardo)</t>
  </si>
  <si>
    <t>13.04.1999</t>
  </si>
  <si>
    <t xml:space="preserve">male </t>
  </si>
  <si>
    <t>Tr. neurodesarrollo y  tr. psicotico
2 ingresos en 2018</t>
  </si>
  <si>
    <t>psicosis NE</t>
  </si>
  <si>
    <t>26.04.2022</t>
  </si>
  <si>
    <t>Olanzapina 5 mg 0-0-1
Aripiprazol lib prolong 800mg
Aripiprazon 15 mg (1 dosis)</t>
  </si>
  <si>
    <t>Psicosis Sala (Fathmeh)</t>
  </si>
  <si>
    <t>22.06.1981</t>
  </si>
  <si>
    <t>THC 1 UPE/día</t>
  </si>
  <si>
    <t>primer epsiodio psicotico</t>
  </si>
  <si>
    <t>PEP</t>
  </si>
  <si>
    <t>29.04.2022</t>
  </si>
  <si>
    <t>45 min</t>
  </si>
  <si>
    <t>Lurasidona 74 mg 0-0-1
Olanzapina 5 mg 0-0-1
Lorazepam 1mg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</si>
</sst>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sz val="12"/>
      <color rgb="FF000000"/>
      <name val="Calibri"/>
      <charset val="1"/>
    </font>
    <font>
      <sz val="12"/>
      <color rgb="FF000000"/>
      <name val="Calibri"/>
    </font>
    <font>
      <sz val="12"/>
      <color theme="1"/>
      <name val="Calibri"/>
    </font>
    <font>
      <sz val="12"/>
      <color rgb="FFFF0000"/>
      <name val="Calibri"/>
      <family val="2"/>
      <scheme val="minor"/>
    </font>
    <font>
      <sz val="12"/>
      <color rgb="FF000000"/>
      <name val="Calibri"/>
      <family val="2"/>
      <scheme val="minor"/>
    </font>
    <font>
      <sz val="12"/>
      <color rgb="FF444444"/>
      <name val="Calibri"/>
      <family val="2"/>
      <charset val="1"/>
    </font>
    <font>
      <sz val="11"/>
      <color rgb="FF333333"/>
      <name val="Lato"/>
      <charset val="1"/>
    </font>
    <font>
      <sz val="11"/>
      <color rgb="FF000000"/>
      <name val="Calibri"/>
      <charset val="1"/>
    </font>
    <font>
      <sz val="12"/>
      <color rgb="FFFF0000"/>
      <name val="Calibri"/>
    </font>
    <font>
      <sz val="11"/>
      <color rgb="FF000000"/>
      <name val="Calibri"/>
      <family val="2"/>
    </font>
    <font>
      <sz val="12"/>
      <color rgb="FF000000"/>
      <name val="Calibri"/>
      <family val="2"/>
      <charset val="1"/>
    </font>
    <font>
      <sz val="12"/>
      <color rgb="FF000000"/>
      <name val="Calibri"/>
      <family val="2"/>
    </font>
  </fonts>
  <fills count="12">
    <fill>
      <patternFill patternType="none"/>
    </fill>
    <fill>
      <patternFill patternType="gray125"/>
    </fill>
    <fill>
      <patternFill patternType="solid">
        <fgColor rgb="FFFFF2CC"/>
        <bgColor indexed="64"/>
      </patternFill>
    </fill>
    <fill>
      <patternFill patternType="solid">
        <fgColor rgb="FFDDEBF7"/>
        <bgColor indexed="64"/>
      </patternFill>
    </fill>
    <fill>
      <patternFill patternType="solid">
        <fgColor rgb="FFEDB4B4"/>
        <bgColor indexed="64"/>
      </patternFill>
    </fill>
    <fill>
      <patternFill patternType="solid">
        <fgColor rgb="FFE2EFDA"/>
        <bgColor indexed="64"/>
      </patternFill>
    </fill>
    <fill>
      <patternFill patternType="solid">
        <fgColor rgb="FFE7E6E6"/>
        <bgColor indexed="64"/>
      </patternFill>
    </fill>
    <fill>
      <patternFill patternType="solid">
        <fgColor rgb="FFDAC5FA"/>
        <bgColor indexed="64"/>
      </patternFill>
    </fill>
    <fill>
      <patternFill patternType="solid">
        <fgColor rgb="FFFFFF00"/>
        <bgColor indexed="64"/>
      </patternFill>
    </fill>
    <fill>
      <patternFill patternType="solid">
        <fgColor rgb="FFFCE4D6"/>
        <bgColor indexed="64"/>
      </patternFill>
    </fill>
    <fill>
      <patternFill patternType="solid">
        <fgColor rgb="FFD9E1F2"/>
        <bgColor indexed="64"/>
      </patternFill>
    </fill>
    <fill>
      <patternFill patternType="solid">
        <fgColor rgb="FFF5D0D0"/>
        <bgColor indexed="64"/>
      </patternFill>
    </fill>
  </fills>
  <borders count="4">
    <border>
      <left/>
      <right/>
      <top/>
      <bottom/>
      <diagonal/>
    </border>
    <border>
      <left/>
      <right/>
      <top/>
      <bottom style="thin">
        <color rgb="FF000000"/>
      </bottom>
      <diagonal/>
    </border>
    <border>
      <left/>
      <right/>
      <top style="thin">
        <color rgb="FF9BC2E6"/>
      </top>
      <bottom style="thin">
        <color rgb="FF9BC2E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0">
    <xf numFmtId="0" fontId="0" fillId="0" borderId="0" xfId="0"/>
    <xf numFmtId="20"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0" fillId="2" borderId="0" xfId="0" applyFill="1"/>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xf numFmtId="0" fontId="0" fillId="3" borderId="0" xfId="0" applyFill="1" applyAlignment="1">
      <alignment horizontal="center" vertical="center" wrapText="1"/>
    </xf>
    <xf numFmtId="0" fontId="0" fillId="4" borderId="0" xfId="0" applyFill="1" applyAlignment="1">
      <alignment horizontal="center" vertical="center"/>
    </xf>
    <xf numFmtId="0" fontId="0" fillId="4" borderId="0" xfId="0" applyFill="1" applyAlignment="1">
      <alignment horizontal="center" vertical="center" wrapText="1"/>
    </xf>
    <xf numFmtId="0" fontId="0" fillId="4" borderId="0" xfId="0" applyFill="1"/>
    <xf numFmtId="0" fontId="0" fillId="5" borderId="0" xfId="0" applyFill="1" applyAlignment="1">
      <alignment horizontal="center" vertical="center"/>
    </xf>
    <xf numFmtId="0" fontId="0" fillId="5" borderId="0" xfId="0" applyFill="1" applyAlignment="1">
      <alignment horizontal="center" vertical="center" wrapText="1"/>
    </xf>
    <xf numFmtId="0" fontId="0" fillId="5" borderId="0" xfId="0" applyFill="1"/>
    <xf numFmtId="0" fontId="0" fillId="6" borderId="0" xfId="0" applyFill="1" applyAlignment="1">
      <alignment horizontal="center" vertical="center"/>
    </xf>
    <xf numFmtId="0" fontId="0" fillId="6" borderId="0" xfId="0" applyFill="1" applyAlignment="1">
      <alignment horizontal="center" vertical="center" wrapText="1"/>
    </xf>
    <xf numFmtId="0" fontId="0" fillId="6" borderId="0" xfId="0" applyFill="1"/>
    <xf numFmtId="0" fontId="0" fillId="7" borderId="0" xfId="0" applyFill="1" applyAlignment="1">
      <alignment horizontal="center" vertical="center" wrapText="1"/>
    </xf>
    <xf numFmtId="0" fontId="0" fillId="7" borderId="0" xfId="0" applyFill="1"/>
    <xf numFmtId="0" fontId="4" fillId="0" borderId="0" xfId="0" applyFont="1" applyAlignment="1">
      <alignment horizontal="center" vertical="center" wrapText="1"/>
    </xf>
    <xf numFmtId="0" fontId="4" fillId="2" borderId="0" xfId="0" applyFont="1" applyFill="1" applyAlignment="1">
      <alignment horizontal="center" vertical="center" wrapText="1"/>
    </xf>
    <xf numFmtId="0" fontId="0" fillId="8" borderId="0" xfId="0" applyFill="1" applyAlignment="1">
      <alignment horizontal="center" vertical="center"/>
    </xf>
    <xf numFmtId="0" fontId="5" fillId="0" borderId="0" xfId="0" applyFont="1" applyAlignment="1">
      <alignment horizontal="center" vertical="center" wrapText="1"/>
    </xf>
    <xf numFmtId="0" fontId="5" fillId="0" borderId="0" xfId="0" applyFont="1"/>
    <xf numFmtId="20" fontId="0" fillId="0" borderId="0" xfId="0" applyNumberFormat="1" applyAlignment="1">
      <alignment horizontal="center" vertical="center"/>
    </xf>
    <xf numFmtId="0" fontId="1" fillId="0" borderId="0" xfId="0" applyFont="1" applyAlignment="1">
      <alignment horizontal="center" vertical="center"/>
    </xf>
    <xf numFmtId="0" fontId="3" fillId="7" borderId="0" xfId="0" applyFont="1" applyFill="1" applyAlignment="1">
      <alignment horizontal="center" vertical="center"/>
    </xf>
    <xf numFmtId="0" fontId="3" fillId="2"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6" borderId="0" xfId="0" applyFont="1" applyFill="1" applyAlignment="1">
      <alignment horizontal="center" vertical="center" wrapText="1"/>
    </xf>
    <xf numFmtId="0" fontId="3" fillId="0" borderId="0" xfId="0" applyFont="1" applyAlignment="1">
      <alignment horizontal="center" vertical="center"/>
    </xf>
    <xf numFmtId="0" fontId="3" fillId="7" borderId="0" xfId="0" applyFont="1" applyFill="1" applyAlignment="1">
      <alignment horizontal="center" vertical="center" wrapText="1"/>
    </xf>
    <xf numFmtId="0" fontId="3" fillId="2" borderId="0" xfId="0" applyFont="1" applyFill="1" applyAlignment="1">
      <alignment horizontal="center" vertical="center" wrapText="1"/>
    </xf>
    <xf numFmtId="0" fontId="3" fillId="4" borderId="0" xfId="0" applyFont="1" applyFill="1" applyAlignment="1">
      <alignment horizontal="center" vertical="center" wrapText="1"/>
    </xf>
    <xf numFmtId="0" fontId="3" fillId="3" borderId="0" xfId="0" applyFont="1" applyFill="1" applyAlignment="1">
      <alignment horizontal="center" vertical="center" wrapText="1"/>
    </xf>
    <xf numFmtId="0" fontId="3" fillId="5" borderId="0" xfId="0" applyFont="1" applyFill="1" applyAlignment="1">
      <alignment horizontal="center" vertical="center" wrapText="1"/>
    </xf>
    <xf numFmtId="0" fontId="3" fillId="0" borderId="0" xfId="0" applyFont="1"/>
    <xf numFmtId="0" fontId="3" fillId="5" borderId="0" xfId="0" applyFont="1" applyFill="1"/>
    <xf numFmtId="0" fontId="3" fillId="0" borderId="0" xfId="0" applyFont="1" applyAlignment="1">
      <alignment wrapText="1"/>
    </xf>
    <xf numFmtId="0" fontId="3" fillId="2" borderId="0" xfId="0" applyFont="1" applyFill="1"/>
    <xf numFmtId="20" fontId="3" fillId="0" borderId="0" xfId="0" applyNumberFormat="1" applyFont="1" applyAlignment="1">
      <alignment horizontal="center" vertical="center" wrapText="1"/>
    </xf>
    <xf numFmtId="0" fontId="3" fillId="6" borderId="0" xfId="0" applyFont="1" applyFill="1"/>
    <xf numFmtId="0" fontId="3" fillId="0" borderId="0" xfId="0" applyFont="1" applyAlignment="1">
      <alignment vertical="center"/>
    </xf>
    <xf numFmtId="0" fontId="3" fillId="2" borderId="0" xfId="0" applyFont="1" applyFill="1" applyAlignment="1">
      <alignment vertical="center"/>
    </xf>
    <xf numFmtId="0" fontId="3" fillId="4" borderId="0" xfId="0" applyFont="1" applyFill="1"/>
    <xf numFmtId="0" fontId="3" fillId="3" borderId="0" xfId="0" applyFont="1" applyFill="1"/>
    <xf numFmtId="20" fontId="3" fillId="0" borderId="0" xfId="0" applyNumberFormat="1" applyFont="1" applyAlignment="1">
      <alignment horizontal="center" vertical="center"/>
    </xf>
    <xf numFmtId="0" fontId="2" fillId="0" borderId="0" xfId="0" applyFont="1" applyAlignment="1">
      <alignment vertical="center" wrapText="1"/>
    </xf>
    <xf numFmtId="0" fontId="1" fillId="0" borderId="0" xfId="0" applyFont="1" applyAlignment="1">
      <alignment horizontal="center" vertical="center" wrapText="1"/>
    </xf>
    <xf numFmtId="0" fontId="1" fillId="0" borderId="0" xfId="0" applyFont="1"/>
    <xf numFmtId="0" fontId="3" fillId="5" borderId="0" xfId="0" applyFont="1" applyFill="1" applyAlignment="1">
      <alignment vertical="center"/>
    </xf>
    <xf numFmtId="0" fontId="3" fillId="6" borderId="0" xfId="0" applyFont="1" applyFill="1" applyAlignment="1">
      <alignment vertical="center"/>
    </xf>
    <xf numFmtId="0" fontId="3" fillId="4" borderId="0" xfId="0" applyFont="1" applyFill="1" applyAlignment="1">
      <alignment vertical="center"/>
    </xf>
    <xf numFmtId="0" fontId="3" fillId="3" borderId="0" xfId="0" applyFont="1" applyFill="1" applyAlignment="1">
      <alignment vertical="center"/>
    </xf>
    <xf numFmtId="0" fontId="3" fillId="6" borderId="0" xfId="0" applyFont="1" applyFill="1" applyAlignment="1">
      <alignment vertical="center" wrapText="1"/>
    </xf>
    <xf numFmtId="0" fontId="2" fillId="0" borderId="0" xfId="0" applyFont="1" applyAlignment="1">
      <alignment horizontal="center" vertical="center"/>
    </xf>
    <xf numFmtId="0" fontId="6" fillId="0" borderId="0" xfId="0" applyFont="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horizontal="center"/>
    </xf>
    <xf numFmtId="0" fontId="0" fillId="7" borderId="0" xfId="0"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2" fillId="2" borderId="0" xfId="0" applyFont="1" applyFill="1" applyAlignment="1">
      <alignment horizontal="center" vertical="center"/>
    </xf>
    <xf numFmtId="0" fontId="5" fillId="2" borderId="0" xfId="0" applyFont="1" applyFill="1" applyAlignment="1">
      <alignment horizontal="center" vertical="center" wrapText="1"/>
    </xf>
    <xf numFmtId="0" fontId="5" fillId="0" borderId="0" xfId="0" applyFont="1" applyAlignment="1">
      <alignment horizontal="center" vertical="center"/>
    </xf>
    <xf numFmtId="0" fontId="3" fillId="9" borderId="0" xfId="0" applyFont="1" applyFill="1" applyAlignment="1">
      <alignment horizontal="center" vertical="center"/>
    </xf>
    <xf numFmtId="0" fontId="3" fillId="9" borderId="0" xfId="0" applyFont="1" applyFill="1" applyAlignment="1">
      <alignment horizontal="center" vertical="center" wrapText="1"/>
    </xf>
    <xf numFmtId="20" fontId="3" fillId="9" borderId="0" xfId="0" applyNumberFormat="1" applyFont="1" applyFill="1" applyAlignment="1">
      <alignment horizontal="center" vertical="center"/>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2" fillId="2" borderId="0" xfId="0" applyFont="1" applyFill="1" applyAlignment="1">
      <alignment horizontal="center" vertical="center" wrapText="1"/>
    </xf>
    <xf numFmtId="0" fontId="2" fillId="7"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4" borderId="0" xfId="0" applyFont="1" applyFill="1" applyAlignment="1">
      <alignment horizontal="center" vertical="center"/>
    </xf>
    <xf numFmtId="0" fontId="2" fillId="3" borderId="0" xfId="0" applyFont="1" applyFill="1" applyAlignment="1">
      <alignment horizontal="center" vertical="center"/>
    </xf>
    <xf numFmtId="0" fontId="2" fillId="2" borderId="0" xfId="0" applyFont="1" applyFill="1" applyAlignment="1">
      <alignment vertical="center"/>
    </xf>
    <xf numFmtId="0" fontId="2" fillId="2" borderId="0" xfId="0" applyFont="1" applyFill="1"/>
    <xf numFmtId="0" fontId="2" fillId="5" borderId="0" xfId="0" applyFont="1" applyFill="1"/>
    <xf numFmtId="0" fontId="2" fillId="7" borderId="0" xfId="0" applyFont="1" applyFill="1"/>
    <xf numFmtId="0" fontId="2" fillId="6" borderId="0" xfId="0" applyFont="1" applyFill="1"/>
    <xf numFmtId="0" fontId="2" fillId="6" borderId="0" xfId="0" applyFont="1" applyFill="1" applyAlignment="1">
      <alignment horizontal="center" vertical="center"/>
    </xf>
    <xf numFmtId="0" fontId="2" fillId="6" borderId="0" xfId="0" applyFont="1" applyFill="1" applyAlignment="1">
      <alignment vertical="center"/>
    </xf>
    <xf numFmtId="0" fontId="2" fillId="4" borderId="0" xfId="0" applyFont="1" applyFill="1" applyAlignment="1">
      <alignment vertical="center"/>
    </xf>
    <xf numFmtId="0" fontId="2" fillId="5" borderId="0" xfId="0" applyFont="1" applyFill="1" applyAlignment="1">
      <alignment vertical="center"/>
    </xf>
    <xf numFmtId="0" fontId="2" fillId="6" borderId="0" xfId="0" applyFont="1" applyFill="1" applyAlignment="1">
      <alignment vertical="center" wrapText="1"/>
    </xf>
    <xf numFmtId="0" fontId="2" fillId="4" borderId="0" xfId="0" applyFont="1" applyFill="1"/>
    <xf numFmtId="0" fontId="5" fillId="2" borderId="0" xfId="0" applyFont="1" applyFill="1" applyAlignment="1">
      <alignment horizontal="center" vertical="center"/>
    </xf>
    <xf numFmtId="0" fontId="5" fillId="5" borderId="0" xfId="0" applyFont="1" applyFill="1"/>
    <xf numFmtId="0" fontId="5" fillId="6" borderId="0" xfId="0" applyFont="1" applyFill="1"/>
    <xf numFmtId="0" fontId="5" fillId="2" borderId="0" xfId="0" applyFont="1" applyFill="1"/>
    <xf numFmtId="0" fontId="5" fillId="4" borderId="0" xfId="0" applyFont="1" applyFill="1"/>
    <xf numFmtId="0" fontId="5" fillId="3" borderId="0" xfId="0" applyFont="1" applyFill="1"/>
    <xf numFmtId="0" fontId="5" fillId="6" borderId="0" xfId="0" applyFont="1" applyFill="1" applyAlignment="1">
      <alignment horizontal="center" vertical="center" wrapText="1"/>
    </xf>
    <xf numFmtId="0" fontId="5" fillId="7" borderId="0" xfId="0" applyFont="1" applyFill="1" applyAlignment="1">
      <alignment horizontal="center" vertical="center"/>
    </xf>
    <xf numFmtId="0" fontId="5" fillId="7" borderId="0" xfId="0" applyFont="1" applyFill="1"/>
    <xf numFmtId="0" fontId="5" fillId="5" borderId="0" xfId="0" applyFont="1" applyFill="1" applyAlignment="1">
      <alignment horizontal="center" vertical="center"/>
    </xf>
    <xf numFmtId="0" fontId="5" fillId="7"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vertical="center"/>
    </xf>
    <xf numFmtId="0" fontId="2" fillId="0" borderId="0" xfId="0" applyFont="1"/>
    <xf numFmtId="20" fontId="2" fillId="0" borderId="0" xfId="0" applyNumberFormat="1" applyFont="1" applyAlignment="1">
      <alignment horizontal="center" vertical="center"/>
    </xf>
    <xf numFmtId="0" fontId="11" fillId="0" borderId="0" xfId="0" applyFont="1" applyAlignment="1">
      <alignment horizontal="center" vertical="center"/>
    </xf>
    <xf numFmtId="20" fontId="5" fillId="0" borderId="0" xfId="0" applyNumberFormat="1" applyFont="1" applyAlignment="1">
      <alignment horizontal="center" vertical="center"/>
    </xf>
    <xf numFmtId="0" fontId="5" fillId="4" borderId="0" xfId="0" applyFont="1" applyFill="1" applyAlignment="1">
      <alignment horizontal="center" vertical="center"/>
    </xf>
    <xf numFmtId="0" fontId="5" fillId="4" borderId="0" xfId="0" applyFont="1" applyFill="1" applyAlignment="1">
      <alignment horizontal="center" vertical="center" wrapText="1"/>
    </xf>
    <xf numFmtId="0" fontId="3" fillId="10" borderId="0" xfId="0" applyFont="1" applyFill="1" applyAlignment="1">
      <alignment horizontal="center" vertical="center"/>
    </xf>
    <xf numFmtId="0" fontId="2" fillId="10" borderId="0" xfId="0" applyFont="1" applyFill="1" applyAlignment="1">
      <alignment horizontal="center" vertical="center" wrapText="1"/>
    </xf>
    <xf numFmtId="0" fontId="2" fillId="10" borderId="0" xfId="0" applyFont="1" applyFill="1" applyAlignment="1">
      <alignment horizontal="center" vertical="center"/>
    </xf>
    <xf numFmtId="0" fontId="2" fillId="10" borderId="0" xfId="0" applyFont="1" applyFill="1"/>
    <xf numFmtId="0" fontId="5" fillId="10" borderId="0" xfId="0" applyFont="1" applyFill="1" applyAlignment="1">
      <alignment horizontal="center" vertical="center" wrapText="1"/>
    </xf>
    <xf numFmtId="0" fontId="5" fillId="10" borderId="0" xfId="0" applyFont="1" applyFill="1"/>
    <xf numFmtId="0" fontId="0" fillId="10" borderId="0" xfId="0" applyFill="1"/>
    <xf numFmtId="0" fontId="5" fillId="5" borderId="0" xfId="0" applyFont="1" applyFill="1" applyAlignment="1">
      <alignment horizontal="center" vertical="center" wrapText="1"/>
    </xf>
    <xf numFmtId="0" fontId="5" fillId="3" borderId="0" xfId="0" applyFont="1" applyFill="1" applyAlignment="1">
      <alignment horizontal="center" vertical="center"/>
    </xf>
    <xf numFmtId="0" fontId="5" fillId="6" borderId="0" xfId="0" applyFont="1" applyFill="1" applyAlignment="1">
      <alignment horizontal="center" vertical="center"/>
    </xf>
    <xf numFmtId="0" fontId="2" fillId="10" borderId="0" xfId="0" applyFont="1" applyFill="1" applyAlignment="1">
      <alignment vertical="center"/>
    </xf>
    <xf numFmtId="0" fontId="5" fillId="10" borderId="0" xfId="0" applyFont="1" applyFill="1" applyAlignment="1">
      <alignment horizontal="center" vertical="center"/>
    </xf>
    <xf numFmtId="0" fontId="1" fillId="7" borderId="0" xfId="0" applyFont="1" applyFill="1" applyAlignment="1">
      <alignment horizontal="center" vertical="center" wrapText="1"/>
    </xf>
    <xf numFmtId="0" fontId="2" fillId="7" borderId="0" xfId="0" applyFont="1" applyFill="1" applyAlignment="1">
      <alignment horizontal="center" vertical="center"/>
    </xf>
    <xf numFmtId="0" fontId="4" fillId="7" borderId="0" xfId="0" applyFont="1" applyFill="1" applyAlignment="1">
      <alignment horizontal="center" vertical="center" wrapText="1"/>
    </xf>
    <xf numFmtId="0" fontId="12"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vertical="center" wrapText="1"/>
    </xf>
    <xf numFmtId="0" fontId="10" fillId="0" borderId="2" xfId="0" applyFont="1" applyBorder="1" applyAlignment="1">
      <alignment horizontal="center" vertical="center"/>
    </xf>
    <xf numFmtId="0" fontId="3" fillId="11" borderId="0" xfId="0" applyFont="1" applyFill="1" applyAlignment="1">
      <alignment horizontal="center" vertical="center"/>
    </xf>
    <xf numFmtId="0" fontId="3" fillId="11" borderId="0" xfId="0" applyFont="1" applyFill="1" applyAlignment="1">
      <alignment horizontal="center" vertical="center" wrapText="1"/>
    </xf>
    <xf numFmtId="14" fontId="2" fillId="2" borderId="0" xfId="0" applyNumberFormat="1" applyFont="1" applyFill="1" applyAlignment="1">
      <alignment horizontal="center" vertical="center"/>
    </xf>
    <xf numFmtId="0" fontId="0" fillId="0" borderId="3"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EDB4B4"/>
      <color rgb="FFDAC5FA"/>
      <color rgb="FFF5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279B-F0FE-C84C-A2A2-E86CC0329BD8}">
  <dimension ref="A1:IA31"/>
  <sheetViews>
    <sheetView tabSelected="1" workbookViewId="0">
      <pane ySplit="1" topLeftCell="CS2" activePane="bottomLeft" state="frozen"/>
      <selection pane="bottomLeft" activeCell="A5" sqref="A5:XFD5"/>
    </sheetView>
  </sheetViews>
  <sheetFormatPr defaultColWidth="11" defaultRowHeight="15.75" outlineLevelCol="1"/>
  <cols>
    <col min="1" max="1" width="18.875" customWidth="1"/>
    <col min="2" max="2" width="10.875" style="3" customWidth="1"/>
    <col min="3" max="3" width="28.625" customWidth="1"/>
    <col min="4" max="4" width="10" style="21" customWidth="1"/>
    <col min="5" max="5" width="13" customWidth="1"/>
    <col min="6" max="6" width="4" customWidth="1"/>
    <col min="7" max="7" width="7.125" customWidth="1"/>
    <col min="8" max="8" width="8.375" bestFit="1" customWidth="1"/>
    <col min="9" max="9" width="10.875" bestFit="1" customWidth="1"/>
    <col min="10" max="10" width="12" bestFit="1" customWidth="1"/>
    <col min="11" max="11" width="22.75" customWidth="1"/>
    <col min="12" max="12" width="28.5" style="21" customWidth="1"/>
    <col min="13" max="13" width="15.125" customWidth="1"/>
    <col min="14" max="14" width="11.25" style="3" customWidth="1"/>
    <col min="15" max="15" width="7.625" customWidth="1" outlineLevel="1"/>
    <col min="16" max="16" width="14.5" customWidth="1" outlineLevel="1"/>
    <col min="17" max="17" width="15.375" customWidth="1" outlineLevel="1"/>
    <col min="18" max="18" width="26.125" customWidth="1" outlineLevel="1"/>
    <col min="19" max="19" width="32.875" customWidth="1" outlineLevel="1"/>
    <col min="20" max="20" width="3.375" customWidth="1"/>
    <col min="21" max="29" width="11.125" hidden="1" customWidth="1" outlineLevel="1"/>
    <col min="30" max="30" width="12.125" hidden="1" customWidth="1" outlineLevel="1"/>
    <col min="31" max="31" width="15" hidden="1" customWidth="1" outlineLevel="1"/>
    <col min="32" max="32" width="15" style="13" bestFit="1" customWidth="1" collapsed="1"/>
    <col min="33" max="41" width="11" hidden="1" customWidth="1" outlineLevel="1"/>
    <col min="42" max="49" width="12" hidden="1" customWidth="1" outlineLevel="1"/>
    <col min="50" max="50" width="14.875" style="9" bestFit="1" customWidth="1" collapsed="1"/>
    <col min="51" max="51" width="14.75" style="6" hidden="1" customWidth="1" outlineLevel="1"/>
    <col min="52" max="52" width="15.875" style="6" hidden="1" customWidth="1" outlineLevel="1"/>
    <col min="53" max="53" width="14.25" style="6" hidden="1" customWidth="1" outlineLevel="1"/>
    <col min="54" max="54" width="14.75" style="6" hidden="1" customWidth="1" outlineLevel="1"/>
    <col min="55" max="55" width="13.875" style="6" hidden="1" customWidth="1" outlineLevel="1"/>
    <col min="56" max="56" width="15" style="6" hidden="1" customWidth="1" outlineLevel="1"/>
    <col min="57" max="57" width="13.375" style="6" hidden="1" customWidth="1" outlineLevel="1"/>
    <col min="58" max="58" width="13.875" style="6" hidden="1" customWidth="1" outlineLevel="1"/>
    <col min="59" max="59" width="13.625" style="6" hidden="1" customWidth="1" outlineLevel="1"/>
    <col min="60" max="60" width="14.75" style="6" hidden="1" customWidth="1" outlineLevel="1"/>
    <col min="61" max="61" width="13.125" style="6" hidden="1" customWidth="1" outlineLevel="1"/>
    <col min="62" max="62" width="13.625" style="6" hidden="1" customWidth="1" outlineLevel="1"/>
    <col min="63" max="63" width="15.375" style="6" hidden="1" customWidth="1" outlineLevel="1"/>
    <col min="64" max="64" width="13.75" style="6" hidden="1" customWidth="1" outlineLevel="1"/>
    <col min="65" max="65" width="14.25" style="6" hidden="1" customWidth="1" outlineLevel="1"/>
    <col min="66" max="66" width="12.75" style="14" customWidth="1" collapsed="1"/>
    <col min="67" max="67" width="32.25" style="16" customWidth="1"/>
    <col min="68" max="68" width="38.5" style="19" customWidth="1"/>
    <col min="69" max="69" width="10" style="3" customWidth="1"/>
    <col min="70" max="70" width="8" customWidth="1" outlineLevel="1"/>
    <col min="71" max="71" width="14.5" customWidth="1" outlineLevel="1"/>
    <col min="72" max="72" width="15.375" customWidth="1" outlineLevel="1"/>
    <col min="73" max="73" width="13.375" customWidth="1" outlineLevel="1"/>
    <col min="74" max="74" width="25.25" customWidth="1" outlineLevel="1"/>
    <col min="75" max="75" width="3.75" customWidth="1"/>
    <col min="76" max="84" width="11.125" customWidth="1" outlineLevel="1"/>
    <col min="85" max="86" width="12.125" customWidth="1" outlineLevel="1"/>
    <col min="87" max="87" width="15" style="13" customWidth="1"/>
    <col min="88" max="96" width="11" customWidth="1" outlineLevel="1"/>
    <col min="97" max="104" width="12" customWidth="1" outlineLevel="1"/>
    <col min="105" max="105" width="14.875" style="9" bestFit="1" customWidth="1"/>
    <col min="106" max="106" width="14.75" style="6" customWidth="1" outlineLevel="1"/>
    <col min="107" max="107" width="15.875" style="6" customWidth="1" outlineLevel="1"/>
    <col min="108" max="108" width="14.25" style="6" customWidth="1" outlineLevel="1"/>
    <col min="109" max="109" width="14.75" style="6" customWidth="1" outlineLevel="1"/>
    <col min="110" max="110" width="13.875" style="6" customWidth="1" outlineLevel="1"/>
    <col min="111" max="111" width="15" style="6" customWidth="1" outlineLevel="1"/>
    <col min="112" max="112" width="13.375" style="6" customWidth="1" outlineLevel="1"/>
    <col min="113" max="113" width="13.875" style="6" customWidth="1" outlineLevel="1"/>
    <col min="114" max="114" width="13.625" style="6" customWidth="1" outlineLevel="1"/>
    <col min="115" max="115" width="14.75" style="6" customWidth="1" outlineLevel="1"/>
    <col min="116" max="116" width="13.125" style="6" customWidth="1" outlineLevel="1"/>
    <col min="117" max="117" width="13.625" style="6" customWidth="1" outlineLevel="1"/>
    <col min="118" max="118" width="15.375" style="6" customWidth="1" outlineLevel="1"/>
    <col min="119" max="119" width="13.75" style="6" customWidth="1" outlineLevel="1"/>
    <col min="120" max="120" width="14.25" style="6" customWidth="1" outlineLevel="1"/>
    <col min="121" max="121" width="12.75" style="14" customWidth="1"/>
    <col min="122" max="122" width="19.875" style="16" customWidth="1"/>
    <col min="123" max="123" width="34.875" style="19" customWidth="1"/>
    <col min="124" max="124" width="10" style="3" customWidth="1"/>
    <col min="125" max="125" width="7.625" hidden="1" customWidth="1" outlineLevel="1"/>
    <col min="126" max="126" width="14.5" hidden="1" customWidth="1" outlineLevel="1"/>
    <col min="127" max="127" width="15.375" hidden="1" customWidth="1" outlineLevel="1"/>
    <col min="128" max="128" width="13.375" hidden="1" customWidth="1" outlineLevel="1"/>
    <col min="129" max="129" width="25.875" hidden="1" customWidth="1" outlineLevel="1"/>
    <col min="130" max="130" width="2.75" customWidth="1" collapsed="1"/>
    <col min="131" max="139" width="11.125" hidden="1" customWidth="1" outlineLevel="1"/>
    <col min="140" max="141" width="12.125" hidden="1" customWidth="1" outlineLevel="1"/>
    <col min="142" max="142" width="15" style="13" bestFit="1" customWidth="1" collapsed="1"/>
    <col min="143" max="151" width="11" hidden="1" customWidth="1" outlineLevel="1"/>
    <col min="152" max="159" width="12" hidden="1" customWidth="1" outlineLevel="1"/>
    <col min="160" max="160" width="14.875" style="9" bestFit="1" customWidth="1" collapsed="1"/>
    <col min="161" max="161" width="14.75" hidden="1" customWidth="1" outlineLevel="1"/>
    <col min="162" max="162" width="15.875" hidden="1" customWidth="1" outlineLevel="1"/>
    <col min="163" max="163" width="14.25" hidden="1" customWidth="1" outlineLevel="1"/>
    <col min="164" max="164" width="14.75" hidden="1" customWidth="1" outlineLevel="1"/>
    <col min="165" max="165" width="13.875" hidden="1" customWidth="1" outlineLevel="1"/>
    <col min="166" max="166" width="15" hidden="1" customWidth="1" outlineLevel="1"/>
    <col min="167" max="167" width="13.375" hidden="1" customWidth="1" outlineLevel="1"/>
    <col min="168" max="168" width="13.875" hidden="1" customWidth="1" outlineLevel="1"/>
    <col min="169" max="169" width="13.625" hidden="1" customWidth="1" outlineLevel="1"/>
    <col min="170" max="170" width="14.75" hidden="1" customWidth="1" outlineLevel="1"/>
    <col min="171" max="171" width="13.125" hidden="1" customWidth="1" outlineLevel="1"/>
    <col min="172" max="172" width="13.625" hidden="1" customWidth="1" outlineLevel="1"/>
    <col min="173" max="173" width="15.375" hidden="1" customWidth="1" outlineLevel="1"/>
    <col min="174" max="174" width="13.75" hidden="1" customWidth="1" outlineLevel="1"/>
    <col min="175" max="175" width="14.25" hidden="1" customWidth="1" outlineLevel="1"/>
    <col min="176" max="176" width="12.75" style="16" customWidth="1" collapsed="1"/>
    <col min="177" max="177" width="11.625" style="16" customWidth="1"/>
    <col min="178" max="178" width="29.75" style="19" customWidth="1"/>
    <col min="179" max="179" width="10" style="3" bestFit="1" customWidth="1"/>
    <col min="180" max="180" width="7.625" hidden="1" customWidth="1" outlineLevel="1"/>
    <col min="181" max="181" width="14.5" hidden="1" customWidth="1" outlineLevel="1"/>
    <col min="182" max="182" width="15.375" hidden="1" customWidth="1" outlineLevel="1"/>
    <col min="183" max="183" width="13.375" hidden="1" customWidth="1" outlineLevel="1"/>
    <col min="184" max="184" width="22" hidden="1" customWidth="1" outlineLevel="1"/>
    <col min="185" max="185" width="3.75" customWidth="1" collapsed="1"/>
    <col min="186" max="194" width="11.125" hidden="1" customWidth="1" outlineLevel="1"/>
    <col min="195" max="196" width="12.125" hidden="1" customWidth="1" outlineLevel="1"/>
    <col min="197" max="197" width="15" style="13" bestFit="1" customWidth="1" collapsed="1"/>
    <col min="198" max="206" width="0" hidden="1" customWidth="1" outlineLevel="1"/>
    <col min="207" max="214" width="12" hidden="1" customWidth="1" outlineLevel="1"/>
    <col min="215" max="215" width="14.875" style="9" bestFit="1" customWidth="1" collapsed="1"/>
    <col min="216" max="216" width="14.75" hidden="1" customWidth="1" outlineLevel="1"/>
    <col min="217" max="217" width="15.875" hidden="1" customWidth="1" outlineLevel="1"/>
    <col min="218" max="218" width="14.25" hidden="1" customWidth="1" outlineLevel="1"/>
    <col min="219" max="219" width="14.75" hidden="1" customWidth="1" outlineLevel="1"/>
    <col min="220" max="220" width="13.875" hidden="1" customWidth="1" outlineLevel="1"/>
    <col min="221" max="221" width="15" hidden="1" customWidth="1" outlineLevel="1"/>
    <col min="222" max="222" width="13.375" hidden="1" customWidth="1" outlineLevel="1"/>
    <col min="223" max="223" width="13.875" hidden="1" customWidth="1" outlineLevel="1"/>
    <col min="224" max="224" width="13.625" hidden="1" customWidth="1" outlineLevel="1"/>
    <col min="225" max="225" width="14.75" hidden="1" customWidth="1" outlineLevel="1"/>
    <col min="226" max="226" width="13.125" hidden="1" customWidth="1" outlineLevel="1"/>
    <col min="227" max="227" width="13.625" hidden="1" customWidth="1" outlineLevel="1"/>
    <col min="228" max="228" width="15.375" hidden="1" customWidth="1" outlineLevel="1"/>
    <col min="229" max="229" width="13.75" hidden="1" customWidth="1" outlineLevel="1"/>
    <col min="230" max="230" width="14.25" hidden="1" customWidth="1" outlineLevel="1"/>
    <col min="231" max="231" width="12.75" style="16" bestFit="1" customWidth="1" collapsed="1"/>
    <col min="232" max="232" width="32.125" style="16" customWidth="1"/>
    <col min="233" max="233" width="30.625" style="18" customWidth="1"/>
    <col min="234" max="234" width="18.375" customWidth="1"/>
    <col min="235" max="235" width="15.625" customWidth="1"/>
  </cols>
  <sheetData>
    <row r="1" spans="1:235" s="36" customFormat="1">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0"/>
      <c r="U1" s="31" t="s">
        <v>19</v>
      </c>
      <c r="V1" s="31" t="s">
        <v>20</v>
      </c>
      <c r="W1" s="31" t="s">
        <v>21</v>
      </c>
      <c r="X1" s="31" t="s">
        <v>22</v>
      </c>
      <c r="Y1" s="31" t="s">
        <v>23</v>
      </c>
      <c r="Z1" s="31" t="s">
        <v>24</v>
      </c>
      <c r="AA1" s="31" t="s">
        <v>25</v>
      </c>
      <c r="AB1" s="31" t="s">
        <v>26</v>
      </c>
      <c r="AC1" s="31" t="s">
        <v>27</v>
      </c>
      <c r="AD1" s="31" t="s">
        <v>28</v>
      </c>
      <c r="AE1" s="31" t="s">
        <v>29</v>
      </c>
      <c r="AF1" s="31" t="s">
        <v>30</v>
      </c>
      <c r="AG1" s="32" t="s">
        <v>31</v>
      </c>
      <c r="AH1" s="32" t="s">
        <v>32</v>
      </c>
      <c r="AI1" s="32" t="s">
        <v>33</v>
      </c>
      <c r="AJ1" s="32" t="s">
        <v>34</v>
      </c>
      <c r="AK1" s="32" t="s">
        <v>35</v>
      </c>
      <c r="AL1" s="32" t="s">
        <v>36</v>
      </c>
      <c r="AM1" s="32" t="s">
        <v>37</v>
      </c>
      <c r="AN1" s="32" t="s">
        <v>38</v>
      </c>
      <c r="AO1" s="32" t="s">
        <v>39</v>
      </c>
      <c r="AP1" s="32" t="s">
        <v>40</v>
      </c>
      <c r="AQ1" s="32" t="s">
        <v>41</v>
      </c>
      <c r="AR1" s="32" t="s">
        <v>42</v>
      </c>
      <c r="AS1" s="32" t="s">
        <v>43</v>
      </c>
      <c r="AT1" s="32" t="s">
        <v>44</v>
      </c>
      <c r="AU1" s="32" t="s">
        <v>45</v>
      </c>
      <c r="AV1" s="32" t="s">
        <v>46</v>
      </c>
      <c r="AW1" s="32" t="s">
        <v>47</v>
      </c>
      <c r="AX1" s="32" t="s">
        <v>48</v>
      </c>
      <c r="AY1" s="33" t="s">
        <v>49</v>
      </c>
      <c r="AZ1" s="33" t="s">
        <v>50</v>
      </c>
      <c r="BA1" s="33" t="s">
        <v>51</v>
      </c>
      <c r="BB1" s="33" t="s">
        <v>52</v>
      </c>
      <c r="BC1" s="33" t="s">
        <v>53</v>
      </c>
      <c r="BD1" s="33" t="s">
        <v>54</v>
      </c>
      <c r="BE1" s="33" t="s">
        <v>55</v>
      </c>
      <c r="BF1" s="33" t="s">
        <v>56</v>
      </c>
      <c r="BG1" s="33" t="s">
        <v>57</v>
      </c>
      <c r="BH1" s="33" t="s">
        <v>58</v>
      </c>
      <c r="BI1" s="33" t="s">
        <v>59</v>
      </c>
      <c r="BJ1" s="33" t="s">
        <v>60</v>
      </c>
      <c r="BK1" s="33" t="s">
        <v>61</v>
      </c>
      <c r="BL1" s="33" t="s">
        <v>62</v>
      </c>
      <c r="BM1" s="33" t="s">
        <v>63</v>
      </c>
      <c r="BN1" s="33" t="s">
        <v>64</v>
      </c>
      <c r="BO1" s="33" t="s">
        <v>65</v>
      </c>
      <c r="BP1" s="34" t="s">
        <v>66</v>
      </c>
      <c r="BQ1" s="30" t="s">
        <v>67</v>
      </c>
      <c r="BR1" s="30" t="s">
        <v>68</v>
      </c>
      <c r="BS1" s="30" t="s">
        <v>69</v>
      </c>
      <c r="BT1" s="30" t="s">
        <v>70</v>
      </c>
      <c r="BU1" s="30" t="s">
        <v>71</v>
      </c>
      <c r="BV1" s="30" t="s">
        <v>72</v>
      </c>
      <c r="BW1" s="30"/>
      <c r="BX1" s="31" t="s">
        <v>73</v>
      </c>
      <c r="BY1" s="31" t="s">
        <v>74</v>
      </c>
      <c r="BZ1" s="31" t="s">
        <v>75</v>
      </c>
      <c r="CA1" s="31" t="s">
        <v>76</v>
      </c>
      <c r="CB1" s="31" t="s">
        <v>77</v>
      </c>
      <c r="CC1" s="31" t="s">
        <v>78</v>
      </c>
      <c r="CD1" s="31" t="s">
        <v>79</v>
      </c>
      <c r="CE1" s="31" t="s">
        <v>80</v>
      </c>
      <c r="CF1" s="31" t="s">
        <v>81</v>
      </c>
      <c r="CG1" s="31" t="s">
        <v>82</v>
      </c>
      <c r="CH1" s="31" t="s">
        <v>83</v>
      </c>
      <c r="CI1" s="31" t="s">
        <v>84</v>
      </c>
      <c r="CJ1" s="32" t="s">
        <v>85</v>
      </c>
      <c r="CK1" s="32" t="s">
        <v>86</v>
      </c>
      <c r="CL1" s="32" t="s">
        <v>87</v>
      </c>
      <c r="CM1" s="32" t="s">
        <v>88</v>
      </c>
      <c r="CN1" s="32" t="s">
        <v>89</v>
      </c>
      <c r="CO1" s="32" t="s">
        <v>90</v>
      </c>
      <c r="CP1" s="32" t="s">
        <v>91</v>
      </c>
      <c r="CQ1" s="32" t="s">
        <v>92</v>
      </c>
      <c r="CR1" s="32" t="s">
        <v>93</v>
      </c>
      <c r="CS1" s="32" t="s">
        <v>94</v>
      </c>
      <c r="CT1" s="32" t="s">
        <v>95</v>
      </c>
      <c r="CU1" s="32" t="s">
        <v>96</v>
      </c>
      <c r="CV1" s="32" t="s">
        <v>97</v>
      </c>
      <c r="CW1" s="32" t="s">
        <v>98</v>
      </c>
      <c r="CX1" s="32" t="s">
        <v>99</v>
      </c>
      <c r="CY1" s="32" t="s">
        <v>100</v>
      </c>
      <c r="CZ1" s="32" t="s">
        <v>101</v>
      </c>
      <c r="DA1" s="32" t="s">
        <v>102</v>
      </c>
      <c r="DB1" s="33" t="s">
        <v>103</v>
      </c>
      <c r="DC1" s="33" t="s">
        <v>104</v>
      </c>
      <c r="DD1" s="33" t="s">
        <v>105</v>
      </c>
      <c r="DE1" s="33" t="s">
        <v>106</v>
      </c>
      <c r="DF1" s="33" t="s">
        <v>107</v>
      </c>
      <c r="DG1" s="33" t="s">
        <v>108</v>
      </c>
      <c r="DH1" s="33" t="s">
        <v>109</v>
      </c>
      <c r="DI1" s="33" t="s">
        <v>110</v>
      </c>
      <c r="DJ1" s="33" t="s">
        <v>111</v>
      </c>
      <c r="DK1" s="33" t="s">
        <v>112</v>
      </c>
      <c r="DL1" s="33" t="s">
        <v>113</v>
      </c>
      <c r="DM1" s="33" t="s">
        <v>114</v>
      </c>
      <c r="DN1" s="33" t="s">
        <v>115</v>
      </c>
      <c r="DO1" s="33" t="s">
        <v>116</v>
      </c>
      <c r="DP1" s="33" t="s">
        <v>117</v>
      </c>
      <c r="DQ1" s="33" t="s">
        <v>118</v>
      </c>
      <c r="DR1" s="33" t="s">
        <v>119</v>
      </c>
      <c r="DS1" s="34" t="s">
        <v>120</v>
      </c>
      <c r="DT1" s="30" t="s">
        <v>121</v>
      </c>
      <c r="DU1" s="30" t="s">
        <v>122</v>
      </c>
      <c r="DV1" s="30" t="s">
        <v>123</v>
      </c>
      <c r="DW1" s="30" t="s">
        <v>124</v>
      </c>
      <c r="DX1" s="30" t="s">
        <v>125</v>
      </c>
      <c r="DY1" s="30" t="s">
        <v>126</v>
      </c>
      <c r="DZ1" s="30"/>
      <c r="EA1" s="31" t="s">
        <v>127</v>
      </c>
      <c r="EB1" s="31" t="s">
        <v>128</v>
      </c>
      <c r="EC1" s="31" t="s">
        <v>129</v>
      </c>
      <c r="ED1" s="31" t="s">
        <v>130</v>
      </c>
      <c r="EE1" s="31" t="s">
        <v>131</v>
      </c>
      <c r="EF1" s="31" t="s">
        <v>132</v>
      </c>
      <c r="EG1" s="31" t="s">
        <v>133</v>
      </c>
      <c r="EH1" s="31" t="s">
        <v>134</v>
      </c>
      <c r="EI1" s="31" t="s">
        <v>135</v>
      </c>
      <c r="EJ1" s="31" t="s">
        <v>136</v>
      </c>
      <c r="EK1" s="31" t="s">
        <v>137</v>
      </c>
      <c r="EL1" s="31" t="s">
        <v>138</v>
      </c>
      <c r="EM1" s="32" t="s">
        <v>139</v>
      </c>
      <c r="EN1" s="32" t="s">
        <v>140</v>
      </c>
      <c r="EO1" s="32" t="s">
        <v>141</v>
      </c>
      <c r="EP1" s="32" t="s">
        <v>142</v>
      </c>
      <c r="EQ1" s="32" t="s">
        <v>143</v>
      </c>
      <c r="ER1" s="32" t="s">
        <v>144</v>
      </c>
      <c r="ES1" s="32" t="s">
        <v>145</v>
      </c>
      <c r="ET1" s="32" t="s">
        <v>146</v>
      </c>
      <c r="EU1" s="32" t="s">
        <v>147</v>
      </c>
      <c r="EV1" s="32" t="s">
        <v>148</v>
      </c>
      <c r="EW1" s="32" t="s">
        <v>149</v>
      </c>
      <c r="EX1" s="32" t="s">
        <v>150</v>
      </c>
      <c r="EY1" s="32" t="s">
        <v>151</v>
      </c>
      <c r="EZ1" s="32" t="s">
        <v>152</v>
      </c>
      <c r="FA1" s="32" t="s">
        <v>153</v>
      </c>
      <c r="FB1" s="32" t="s">
        <v>154</v>
      </c>
      <c r="FC1" s="32" t="s">
        <v>155</v>
      </c>
      <c r="FD1" s="32" t="s">
        <v>156</v>
      </c>
      <c r="FE1" s="33" t="s">
        <v>157</v>
      </c>
      <c r="FF1" s="33" t="s">
        <v>158</v>
      </c>
      <c r="FG1" s="33" t="s">
        <v>159</v>
      </c>
      <c r="FH1" s="33" t="s">
        <v>160</v>
      </c>
      <c r="FI1" s="33" t="s">
        <v>161</v>
      </c>
      <c r="FJ1" s="33" t="s">
        <v>162</v>
      </c>
      <c r="FK1" s="33" t="s">
        <v>163</v>
      </c>
      <c r="FL1" s="33" t="s">
        <v>164</v>
      </c>
      <c r="FM1" s="33" t="s">
        <v>165</v>
      </c>
      <c r="FN1" s="33" t="s">
        <v>166</v>
      </c>
      <c r="FO1" s="33" t="s">
        <v>167</v>
      </c>
      <c r="FP1" s="33" t="s">
        <v>168</v>
      </c>
      <c r="FQ1" s="33" t="s">
        <v>169</v>
      </c>
      <c r="FR1" s="33" t="s">
        <v>170</v>
      </c>
      <c r="FS1" s="33" t="s">
        <v>171</v>
      </c>
      <c r="FT1" s="33" t="s">
        <v>172</v>
      </c>
      <c r="FU1" s="33" t="s">
        <v>173</v>
      </c>
      <c r="FV1" s="34" t="s">
        <v>174</v>
      </c>
      <c r="FW1" s="30" t="s">
        <v>175</v>
      </c>
      <c r="FX1" s="30" t="s">
        <v>176</v>
      </c>
      <c r="FY1" s="30" t="s">
        <v>177</v>
      </c>
      <c r="FZ1" s="30" t="s">
        <v>178</v>
      </c>
      <c r="GA1" s="30" t="s">
        <v>179</v>
      </c>
      <c r="GB1" s="30" t="s">
        <v>180</v>
      </c>
      <c r="GC1" s="30"/>
      <c r="GD1" s="31" t="s">
        <v>181</v>
      </c>
      <c r="GE1" s="31" t="s">
        <v>182</v>
      </c>
      <c r="GF1" s="31" t="s">
        <v>183</v>
      </c>
      <c r="GG1" s="31" t="s">
        <v>184</v>
      </c>
      <c r="GH1" s="31" t="s">
        <v>185</v>
      </c>
      <c r="GI1" s="31" t="s">
        <v>186</v>
      </c>
      <c r="GJ1" s="31" t="s">
        <v>187</v>
      </c>
      <c r="GK1" s="31" t="s">
        <v>188</v>
      </c>
      <c r="GL1" s="31" t="s">
        <v>189</v>
      </c>
      <c r="GM1" s="31" t="s">
        <v>190</v>
      </c>
      <c r="GN1" s="31" t="s">
        <v>191</v>
      </c>
      <c r="GO1" s="31" t="s">
        <v>192</v>
      </c>
      <c r="GP1" s="32" t="s">
        <v>193</v>
      </c>
      <c r="GQ1" s="32" t="s">
        <v>194</v>
      </c>
      <c r="GR1" s="32" t="s">
        <v>195</v>
      </c>
      <c r="GS1" s="32" t="s">
        <v>196</v>
      </c>
      <c r="GT1" s="32" t="s">
        <v>197</v>
      </c>
      <c r="GU1" s="32" t="s">
        <v>198</v>
      </c>
      <c r="GV1" s="32" t="s">
        <v>199</v>
      </c>
      <c r="GW1" s="32" t="s">
        <v>200</v>
      </c>
      <c r="GX1" s="32" t="s">
        <v>201</v>
      </c>
      <c r="GY1" s="32" t="s">
        <v>202</v>
      </c>
      <c r="GZ1" s="32" t="s">
        <v>203</v>
      </c>
      <c r="HA1" s="32" t="s">
        <v>204</v>
      </c>
      <c r="HB1" s="32" t="s">
        <v>205</v>
      </c>
      <c r="HC1" s="32" t="s">
        <v>206</v>
      </c>
      <c r="HD1" s="32" t="s">
        <v>207</v>
      </c>
      <c r="HE1" s="32" t="s">
        <v>208</v>
      </c>
      <c r="HF1" s="32" t="s">
        <v>209</v>
      </c>
      <c r="HG1" s="32" t="s">
        <v>210</v>
      </c>
      <c r="HH1" s="33" t="s">
        <v>211</v>
      </c>
      <c r="HI1" s="33" t="s">
        <v>212</v>
      </c>
      <c r="HJ1" s="33" t="s">
        <v>213</v>
      </c>
      <c r="HK1" s="33" t="s">
        <v>214</v>
      </c>
      <c r="HL1" s="33" t="s">
        <v>215</v>
      </c>
      <c r="HM1" s="33" t="s">
        <v>216</v>
      </c>
      <c r="HN1" s="33" t="s">
        <v>217</v>
      </c>
      <c r="HO1" s="33" t="s">
        <v>218</v>
      </c>
      <c r="HP1" s="33" t="s">
        <v>219</v>
      </c>
      <c r="HQ1" s="33" t="s">
        <v>220</v>
      </c>
      <c r="HR1" s="33" t="s">
        <v>221</v>
      </c>
      <c r="HS1" s="33" t="s">
        <v>222</v>
      </c>
      <c r="HT1" s="33" t="s">
        <v>223</v>
      </c>
      <c r="HU1" s="33" t="s">
        <v>224</v>
      </c>
      <c r="HV1" s="33" t="s">
        <v>225</v>
      </c>
      <c r="HW1" s="33" t="s">
        <v>226</v>
      </c>
      <c r="HX1" s="33" t="s">
        <v>227</v>
      </c>
      <c r="HY1" s="35" t="s">
        <v>228</v>
      </c>
      <c r="HZ1" s="63" t="s">
        <v>229</v>
      </c>
      <c r="IA1" s="63" t="s">
        <v>230</v>
      </c>
    </row>
    <row r="2" spans="1:235" s="36" customFormat="1" ht="97.5" customHeight="1">
      <c r="A2" s="36" t="s">
        <v>231</v>
      </c>
      <c r="B2" s="38" t="s">
        <v>232</v>
      </c>
      <c r="C2" s="2" t="s">
        <v>233</v>
      </c>
      <c r="D2" s="37">
        <v>4262087</v>
      </c>
      <c r="E2" s="2" t="s">
        <v>234</v>
      </c>
      <c r="F2" s="2">
        <v>45</v>
      </c>
      <c r="G2" s="2" t="s">
        <v>235</v>
      </c>
      <c r="H2" s="2" t="s">
        <v>236</v>
      </c>
      <c r="I2" s="2" t="s">
        <v>237</v>
      </c>
      <c r="J2" s="2" t="s">
        <v>237</v>
      </c>
      <c r="K2" s="2" t="s">
        <v>237</v>
      </c>
      <c r="L2" s="37" t="s">
        <v>238</v>
      </c>
      <c r="M2" s="2" t="s">
        <v>239</v>
      </c>
      <c r="N2" s="38" t="s">
        <v>240</v>
      </c>
      <c r="O2" s="2" t="s">
        <v>241</v>
      </c>
      <c r="P2" s="2" t="s">
        <v>242</v>
      </c>
      <c r="Q2" s="2">
        <v>1274370</v>
      </c>
      <c r="R2" s="2">
        <v>41</v>
      </c>
      <c r="S2" s="2" t="s">
        <v>243</v>
      </c>
      <c r="T2" s="2"/>
      <c r="U2" s="2">
        <v>0</v>
      </c>
      <c r="V2" s="2">
        <v>0</v>
      </c>
      <c r="W2" s="2">
        <v>0</v>
      </c>
      <c r="X2" s="2">
        <v>1</v>
      </c>
      <c r="Y2" s="2">
        <v>0</v>
      </c>
      <c r="Z2" s="2">
        <v>0</v>
      </c>
      <c r="AA2" s="2">
        <v>0</v>
      </c>
      <c r="AB2" s="2">
        <v>0</v>
      </c>
      <c r="AC2" s="2">
        <v>0</v>
      </c>
      <c r="AD2" s="2">
        <v>1</v>
      </c>
      <c r="AE2" s="2">
        <v>2</v>
      </c>
      <c r="AF2" s="39">
        <f t="shared" ref="AF2:AF12" si="0">SUM(U2:AE2)</f>
        <v>4</v>
      </c>
      <c r="AG2" s="2">
        <v>3</v>
      </c>
      <c r="AH2" s="2">
        <v>2</v>
      </c>
      <c r="AI2" s="2">
        <v>0</v>
      </c>
      <c r="AJ2" s="2">
        <v>2</v>
      </c>
      <c r="AK2" s="2">
        <v>1</v>
      </c>
      <c r="AL2" s="2">
        <v>0</v>
      </c>
      <c r="AM2" s="2">
        <v>4</v>
      </c>
      <c r="AN2" s="2">
        <v>2</v>
      </c>
      <c r="AO2" s="2">
        <v>0</v>
      </c>
      <c r="AP2" s="2">
        <v>3</v>
      </c>
      <c r="AQ2" s="2">
        <v>1</v>
      </c>
      <c r="AR2" s="2">
        <v>2</v>
      </c>
      <c r="AS2" s="2">
        <v>2</v>
      </c>
      <c r="AT2" s="2">
        <v>0</v>
      </c>
      <c r="AU2" s="2">
        <v>2</v>
      </c>
      <c r="AV2" s="2">
        <v>1</v>
      </c>
      <c r="AW2" s="2">
        <v>2</v>
      </c>
      <c r="AX2" s="40">
        <f t="shared" ref="AX2:AX12" si="1">SUM(AG2:AW2)</f>
        <v>27</v>
      </c>
      <c r="BB2" s="36">
        <f t="shared" ref="BB2:BB3" si="2">8*(AY2*(AZ2*60+BA2))</f>
        <v>0</v>
      </c>
      <c r="BF2" s="36">
        <f t="shared" ref="BF2:BF15" si="3">4*(BC2*(BD2*60+BE2))</f>
        <v>0</v>
      </c>
      <c r="BJ2" s="36">
        <f t="shared" ref="BJ2:BJ16" si="4">3.3*(BG2*(BH2*60+BI2))</f>
        <v>0</v>
      </c>
      <c r="BM2" s="36">
        <f t="shared" ref="BM2:BM15" si="5">1*(7*(BK2*60+BL2))</f>
        <v>0</v>
      </c>
      <c r="BN2" s="33">
        <f t="shared" ref="BN2:BN15" si="6">BB2+BF2+BJ2</f>
        <v>0</v>
      </c>
      <c r="BO2" s="41" t="s">
        <v>244</v>
      </c>
      <c r="BP2" s="35" t="s">
        <v>245</v>
      </c>
      <c r="BQ2" s="30" t="s">
        <v>246</v>
      </c>
      <c r="BR2" s="1">
        <v>0.75</v>
      </c>
      <c r="BS2" s="2" t="s">
        <v>247</v>
      </c>
      <c r="BT2" s="2">
        <v>1276902</v>
      </c>
      <c r="BU2" s="2">
        <v>45</v>
      </c>
      <c r="BV2" s="2" t="s">
        <v>248</v>
      </c>
      <c r="BW2" s="2"/>
      <c r="BX2" s="36">
        <v>0</v>
      </c>
      <c r="BY2" s="36">
        <v>0</v>
      </c>
      <c r="BZ2" s="36">
        <v>0</v>
      </c>
      <c r="CA2" s="36">
        <v>0</v>
      </c>
      <c r="CB2" s="36">
        <v>0</v>
      </c>
      <c r="CC2" s="36">
        <v>0</v>
      </c>
      <c r="CD2" s="36">
        <v>0</v>
      </c>
      <c r="CE2" s="36">
        <v>0</v>
      </c>
      <c r="CF2" s="36">
        <v>0</v>
      </c>
      <c r="CG2" s="36">
        <v>0</v>
      </c>
      <c r="CH2" s="36">
        <v>1</v>
      </c>
      <c r="CI2" s="31">
        <f t="shared" ref="CI2:CI14" si="7">SUM(BX2:CH2)</f>
        <v>1</v>
      </c>
      <c r="CJ2" s="36">
        <v>1</v>
      </c>
      <c r="CK2" s="36">
        <v>1</v>
      </c>
      <c r="CL2" s="36">
        <v>0</v>
      </c>
      <c r="CM2" s="36">
        <v>0</v>
      </c>
      <c r="CN2" s="36">
        <v>1</v>
      </c>
      <c r="CO2" s="36">
        <v>0</v>
      </c>
      <c r="CP2" s="36">
        <v>2</v>
      </c>
      <c r="CQ2" s="36">
        <v>1</v>
      </c>
      <c r="CR2" s="36">
        <v>0</v>
      </c>
      <c r="CS2" s="36">
        <v>1</v>
      </c>
      <c r="CT2" s="36">
        <v>1</v>
      </c>
      <c r="CU2" s="36">
        <v>0</v>
      </c>
      <c r="CV2" s="36">
        <v>1</v>
      </c>
      <c r="CW2" s="36">
        <v>0</v>
      </c>
      <c r="CX2" s="36">
        <v>1</v>
      </c>
      <c r="CY2" s="36">
        <v>0</v>
      </c>
      <c r="CZ2" s="36">
        <v>1</v>
      </c>
      <c r="DA2" s="32">
        <f t="shared" ref="DA2:DA14" si="8">SUM(CJ2:CZ2)</f>
        <v>11</v>
      </c>
      <c r="DE2" s="36">
        <f t="shared" ref="DE2:DE31" si="9">8*(DB2*(DC2*60+DD2))</f>
        <v>0</v>
      </c>
      <c r="DI2" s="36">
        <f t="shared" ref="DI2:DI21" si="10">4*(DF2*(DG2*60+DH2))</f>
        <v>0</v>
      </c>
      <c r="DM2" s="36">
        <f t="shared" ref="DM2:DM18" si="11">3.3*(DJ2*(DK2*60+DL2))</f>
        <v>0</v>
      </c>
      <c r="DP2" s="36">
        <f t="shared" ref="DP2:DP19" si="12">1*(7*(DN2*60+DO2))</f>
        <v>0</v>
      </c>
      <c r="DQ2" s="33">
        <f t="shared" ref="DQ2:DQ17" si="13">DE2+DI2+DM2</f>
        <v>0</v>
      </c>
      <c r="DR2" s="41" t="s">
        <v>249</v>
      </c>
      <c r="DS2" s="35" t="s">
        <v>249</v>
      </c>
      <c r="DT2" s="30" t="s">
        <v>250</v>
      </c>
      <c r="DU2" s="36" t="s">
        <v>251</v>
      </c>
      <c r="DV2" s="36" t="s">
        <v>247</v>
      </c>
      <c r="DW2" s="36">
        <v>1287479</v>
      </c>
      <c r="DX2" s="36" t="s">
        <v>252</v>
      </c>
      <c r="DY2" s="2" t="s">
        <v>253</v>
      </c>
      <c r="DZ2" s="2"/>
      <c r="EA2" s="36">
        <v>0</v>
      </c>
      <c r="EB2" s="36">
        <v>0</v>
      </c>
      <c r="EC2" s="36">
        <v>0</v>
      </c>
      <c r="ED2" s="36">
        <v>0</v>
      </c>
      <c r="EE2" s="36">
        <v>0</v>
      </c>
      <c r="EF2" s="36">
        <v>0</v>
      </c>
      <c r="EG2" s="36">
        <v>0</v>
      </c>
      <c r="EH2" s="36">
        <v>0</v>
      </c>
      <c r="EI2" s="36">
        <v>0</v>
      </c>
      <c r="EJ2" s="36">
        <v>0</v>
      </c>
      <c r="EK2" s="36">
        <v>1</v>
      </c>
      <c r="EL2" s="31">
        <f t="shared" ref="EL2:EL11" si="14">SUM(EA2:EK2)</f>
        <v>1</v>
      </c>
      <c r="EM2" s="36">
        <v>1</v>
      </c>
      <c r="EN2" s="36">
        <v>1</v>
      </c>
      <c r="EO2" s="36">
        <v>0</v>
      </c>
      <c r="EP2" s="36">
        <v>0</v>
      </c>
      <c r="EQ2" s="36">
        <v>0</v>
      </c>
      <c r="ER2" s="36">
        <v>0</v>
      </c>
      <c r="ES2" s="36">
        <v>0</v>
      </c>
      <c r="ET2" s="36">
        <v>0</v>
      </c>
      <c r="EU2" s="36">
        <v>0</v>
      </c>
      <c r="EV2" s="36">
        <v>1</v>
      </c>
      <c r="EW2" s="36">
        <v>1</v>
      </c>
      <c r="EX2" s="36">
        <v>0</v>
      </c>
      <c r="EY2" s="36">
        <v>1</v>
      </c>
      <c r="EZ2" s="36">
        <v>0</v>
      </c>
      <c r="FA2" s="36">
        <v>1</v>
      </c>
      <c r="FB2" s="36">
        <v>0</v>
      </c>
      <c r="FC2" s="36">
        <v>1</v>
      </c>
      <c r="FD2" s="32">
        <f t="shared" ref="FD2:FD5" si="15">SUM(EM2:FC2)</f>
        <v>7</v>
      </c>
      <c r="FE2" s="36">
        <v>0</v>
      </c>
      <c r="FF2" s="36">
        <v>0</v>
      </c>
      <c r="FG2" s="36">
        <v>0</v>
      </c>
      <c r="FH2" s="36">
        <f t="shared" ref="FH2:FH11" si="16">8*(FE2*(FF2*60+FG2))</f>
        <v>0</v>
      </c>
      <c r="FI2" s="36">
        <v>5</v>
      </c>
      <c r="FJ2" s="36">
        <v>1</v>
      </c>
      <c r="FK2" s="36">
        <v>0</v>
      </c>
      <c r="FL2" s="36">
        <f t="shared" ref="FL2:FL11" si="17">4*(FI2*(FJ2*60+FK2))</f>
        <v>1200</v>
      </c>
      <c r="FM2" s="36">
        <v>7</v>
      </c>
      <c r="FN2" s="36">
        <v>1</v>
      </c>
      <c r="FO2" s="36">
        <v>0</v>
      </c>
      <c r="FP2" s="36">
        <f t="shared" ref="FP2:FP17" si="18">3.3*(FM2*(FN2*60+FO2))</f>
        <v>1386</v>
      </c>
      <c r="FQ2" s="36">
        <v>6</v>
      </c>
      <c r="FR2" s="36">
        <v>0</v>
      </c>
      <c r="FS2" s="36">
        <f t="shared" ref="FS2:FS15" si="19">1*(7*(FQ2*60+FR2))</f>
        <v>2520</v>
      </c>
      <c r="FT2" s="33">
        <f t="shared" ref="FT2:FT13" si="20">FH2+FL2+FP2</f>
        <v>2586</v>
      </c>
      <c r="FU2" s="41" t="s">
        <v>254</v>
      </c>
      <c r="FV2" s="35" t="s">
        <v>255</v>
      </c>
      <c r="FW2" s="30" t="s">
        <v>256</v>
      </c>
      <c r="FX2" s="1">
        <v>0.77986111111111101</v>
      </c>
      <c r="FY2" s="36" t="s">
        <v>257</v>
      </c>
      <c r="FZ2" s="2">
        <v>1457682</v>
      </c>
      <c r="GA2" s="2">
        <v>46</v>
      </c>
      <c r="GB2" s="2" t="s">
        <v>258</v>
      </c>
      <c r="GC2" s="2"/>
      <c r="GD2" s="36">
        <v>0</v>
      </c>
      <c r="GE2" s="36">
        <v>0</v>
      </c>
      <c r="GF2" s="36">
        <v>0</v>
      </c>
      <c r="GG2" s="36">
        <v>0</v>
      </c>
      <c r="GH2" s="36">
        <v>0</v>
      </c>
      <c r="GI2" s="36">
        <v>0</v>
      </c>
      <c r="GJ2" s="36">
        <v>0</v>
      </c>
      <c r="GK2" s="36">
        <v>0</v>
      </c>
      <c r="GL2" s="36">
        <v>0</v>
      </c>
      <c r="GM2" s="36">
        <v>0</v>
      </c>
      <c r="GN2" s="36">
        <v>0</v>
      </c>
      <c r="GO2" s="31">
        <f t="shared" ref="GO2:GO6" si="21">SUM(GD2:GN2)</f>
        <v>0</v>
      </c>
      <c r="GP2" s="132">
        <v>0</v>
      </c>
      <c r="GQ2" s="132">
        <v>2</v>
      </c>
      <c r="GR2" s="132">
        <v>0</v>
      </c>
      <c r="GS2" s="132">
        <v>1</v>
      </c>
      <c r="GT2" s="132">
        <v>1</v>
      </c>
      <c r="GU2" s="132">
        <v>0</v>
      </c>
      <c r="GV2" s="132">
        <v>0</v>
      </c>
      <c r="GW2" s="132">
        <v>0</v>
      </c>
      <c r="GX2" s="132">
        <v>0</v>
      </c>
      <c r="GY2" s="132">
        <v>0</v>
      </c>
      <c r="GZ2" s="132">
        <v>0</v>
      </c>
      <c r="HA2" s="132">
        <v>0</v>
      </c>
      <c r="HB2" s="132">
        <v>0</v>
      </c>
      <c r="HC2" s="132">
        <v>0</v>
      </c>
      <c r="HD2" s="132">
        <v>0</v>
      </c>
      <c r="HE2" s="132">
        <v>0</v>
      </c>
      <c r="HF2" s="132">
        <v>0</v>
      </c>
      <c r="HG2" s="32">
        <f t="shared" ref="HG2:HG6" si="22">SUM(GP2:HF2)</f>
        <v>4</v>
      </c>
      <c r="HH2" s="36">
        <v>0</v>
      </c>
      <c r="HI2" s="36">
        <v>0</v>
      </c>
      <c r="HJ2" s="36">
        <v>0</v>
      </c>
      <c r="HK2" s="36">
        <v>0</v>
      </c>
      <c r="HL2" s="36">
        <v>5</v>
      </c>
      <c r="HM2" s="36">
        <v>5</v>
      </c>
      <c r="HN2" s="36">
        <v>0</v>
      </c>
      <c r="HO2" s="36">
        <f t="shared" ref="HO2:HO8" si="23">4*(HL2*(HM2*60+HN2))</f>
        <v>6000</v>
      </c>
      <c r="HP2" s="36">
        <v>7</v>
      </c>
      <c r="HQ2" s="36">
        <v>0</v>
      </c>
      <c r="HR2" s="36">
        <v>10</v>
      </c>
      <c r="HS2" s="36">
        <f t="shared" ref="HS2:HS8" si="24">3.3*(HP2*(HQ2*60+HR2))</f>
        <v>231</v>
      </c>
      <c r="HT2" s="36">
        <v>2</v>
      </c>
      <c r="HU2" s="36">
        <v>0</v>
      </c>
      <c r="HV2" s="36">
        <f t="shared" ref="HV2:HV8" si="25">1*(7*(HT2*60+HU2))</f>
        <v>840</v>
      </c>
      <c r="HW2" s="33">
        <f t="shared" ref="HW2:HW8" si="26">HK2+HO2+HS2</f>
        <v>6231</v>
      </c>
      <c r="HX2" s="41" t="s">
        <v>239</v>
      </c>
      <c r="HY2" s="35" t="s">
        <v>259</v>
      </c>
      <c r="HZ2" s="36" t="s">
        <v>239</v>
      </c>
      <c r="IA2" s="36" t="s">
        <v>239</v>
      </c>
    </row>
    <row r="3" spans="1:235" s="42" customFormat="1" ht="97.5" customHeight="1">
      <c r="A3" s="36" t="s">
        <v>231</v>
      </c>
      <c r="B3" s="38" t="s">
        <v>232</v>
      </c>
      <c r="C3" s="2" t="s">
        <v>260</v>
      </c>
      <c r="D3" s="37">
        <v>70661835</v>
      </c>
      <c r="E3" s="2" t="s">
        <v>261</v>
      </c>
      <c r="F3" s="2">
        <v>57</v>
      </c>
      <c r="G3" s="2" t="s">
        <v>235</v>
      </c>
      <c r="H3" s="2" t="s">
        <v>237</v>
      </c>
      <c r="I3" s="2" t="s">
        <v>237</v>
      </c>
      <c r="J3" s="2" t="s">
        <v>237</v>
      </c>
      <c r="K3" s="2" t="s">
        <v>262</v>
      </c>
      <c r="L3" s="37" t="s">
        <v>263</v>
      </c>
      <c r="M3" s="2" t="s">
        <v>239</v>
      </c>
      <c r="N3" s="38" t="s">
        <v>264</v>
      </c>
      <c r="O3" s="2" t="s">
        <v>265</v>
      </c>
      <c r="P3" s="2" t="s">
        <v>242</v>
      </c>
      <c r="Q3" s="2">
        <v>1311651</v>
      </c>
      <c r="R3" s="2" t="s">
        <v>266</v>
      </c>
      <c r="S3" s="2" t="s">
        <v>267</v>
      </c>
      <c r="T3" s="2"/>
      <c r="U3" s="2">
        <v>0</v>
      </c>
      <c r="V3" s="2">
        <v>0</v>
      </c>
      <c r="W3" s="2">
        <v>0</v>
      </c>
      <c r="X3" s="2">
        <v>2</v>
      </c>
      <c r="Y3" s="2">
        <v>0</v>
      </c>
      <c r="Z3" s="2">
        <v>0</v>
      </c>
      <c r="AA3" s="2">
        <v>2</v>
      </c>
      <c r="AB3" s="2">
        <v>0</v>
      </c>
      <c r="AC3" s="2">
        <v>0</v>
      </c>
      <c r="AD3" s="2">
        <v>1</v>
      </c>
      <c r="AE3" s="2">
        <v>2</v>
      </c>
      <c r="AF3" s="39">
        <f t="shared" si="0"/>
        <v>7</v>
      </c>
      <c r="AG3" s="2">
        <v>4</v>
      </c>
      <c r="AH3" s="2">
        <v>3</v>
      </c>
      <c r="AI3" s="2">
        <v>1</v>
      </c>
      <c r="AJ3" s="2">
        <v>2</v>
      </c>
      <c r="AK3" s="2">
        <v>2</v>
      </c>
      <c r="AL3" s="2">
        <v>2</v>
      </c>
      <c r="AM3" s="2">
        <v>2</v>
      </c>
      <c r="AN3" s="2">
        <v>3</v>
      </c>
      <c r="AO3" s="2">
        <v>1</v>
      </c>
      <c r="AP3" s="2">
        <v>4</v>
      </c>
      <c r="AQ3" s="2">
        <v>2</v>
      </c>
      <c r="AR3" s="2">
        <v>1</v>
      </c>
      <c r="AS3" s="2">
        <v>0</v>
      </c>
      <c r="AT3" s="2">
        <v>0</v>
      </c>
      <c r="AU3" s="2">
        <v>2</v>
      </c>
      <c r="AV3" s="2">
        <v>2</v>
      </c>
      <c r="AW3" s="2">
        <v>2</v>
      </c>
      <c r="AX3" s="40">
        <f t="shared" si="1"/>
        <v>33</v>
      </c>
      <c r="AY3" s="36">
        <v>0</v>
      </c>
      <c r="AZ3" s="36">
        <v>0</v>
      </c>
      <c r="BA3" s="36">
        <v>0</v>
      </c>
      <c r="BB3" s="36">
        <f t="shared" si="2"/>
        <v>0</v>
      </c>
      <c r="BC3" s="36">
        <v>0</v>
      </c>
      <c r="BD3" s="36">
        <v>0</v>
      </c>
      <c r="BE3" s="36">
        <v>0</v>
      </c>
      <c r="BF3" s="36">
        <f t="shared" si="3"/>
        <v>0</v>
      </c>
      <c r="BG3" s="36">
        <v>7</v>
      </c>
      <c r="BH3" s="36">
        <v>6</v>
      </c>
      <c r="BI3" s="36">
        <v>0</v>
      </c>
      <c r="BJ3" s="36">
        <f t="shared" si="4"/>
        <v>8316</v>
      </c>
      <c r="BK3" s="36">
        <v>14</v>
      </c>
      <c r="BL3" s="36">
        <v>0</v>
      </c>
      <c r="BM3" s="36">
        <f t="shared" si="5"/>
        <v>5880</v>
      </c>
      <c r="BN3" s="33">
        <f t="shared" si="6"/>
        <v>8316</v>
      </c>
      <c r="BO3" s="41" t="s">
        <v>268</v>
      </c>
      <c r="BP3" s="35" t="s">
        <v>269</v>
      </c>
      <c r="BQ3" s="38" t="s">
        <v>270</v>
      </c>
      <c r="BR3" s="2" t="s">
        <v>271</v>
      </c>
      <c r="BS3" s="2" t="s">
        <v>242</v>
      </c>
      <c r="BT3" s="2">
        <v>1313888</v>
      </c>
      <c r="BU3" s="2">
        <v>41</v>
      </c>
      <c r="BV3" s="2" t="s">
        <v>272</v>
      </c>
      <c r="BW3" s="44"/>
      <c r="BX3" s="36">
        <v>0</v>
      </c>
      <c r="BY3" s="36">
        <v>0</v>
      </c>
      <c r="BZ3" s="36">
        <v>0</v>
      </c>
      <c r="CA3" s="36">
        <v>0</v>
      </c>
      <c r="CB3" s="36">
        <v>0</v>
      </c>
      <c r="CC3" s="36">
        <v>0</v>
      </c>
      <c r="CD3" s="36">
        <v>0</v>
      </c>
      <c r="CE3" s="36">
        <v>0</v>
      </c>
      <c r="CF3" s="36">
        <v>0</v>
      </c>
      <c r="CG3" s="36">
        <v>1</v>
      </c>
      <c r="CH3" s="36">
        <v>1</v>
      </c>
      <c r="CI3" s="31">
        <f t="shared" si="7"/>
        <v>2</v>
      </c>
      <c r="CJ3" s="36">
        <v>4</v>
      </c>
      <c r="CK3" s="36">
        <v>2</v>
      </c>
      <c r="CL3" s="36">
        <v>0</v>
      </c>
      <c r="CM3" s="36">
        <v>0</v>
      </c>
      <c r="CN3" s="36">
        <v>0</v>
      </c>
      <c r="CO3" s="36">
        <v>0</v>
      </c>
      <c r="CP3" s="36">
        <v>1</v>
      </c>
      <c r="CQ3" s="36">
        <v>1</v>
      </c>
      <c r="CR3" s="36">
        <v>0</v>
      </c>
      <c r="CS3" s="36">
        <v>3</v>
      </c>
      <c r="CT3" s="36">
        <v>0</v>
      </c>
      <c r="CU3" s="36">
        <v>0</v>
      </c>
      <c r="CV3" s="36">
        <v>0</v>
      </c>
      <c r="CW3" s="36">
        <v>0</v>
      </c>
      <c r="CX3" s="36">
        <v>0</v>
      </c>
      <c r="CY3" s="36">
        <v>1</v>
      </c>
      <c r="CZ3" s="36">
        <v>1</v>
      </c>
      <c r="DA3" s="32">
        <f t="shared" si="8"/>
        <v>13</v>
      </c>
      <c r="DB3" s="36">
        <v>0</v>
      </c>
      <c r="DC3" s="36">
        <v>0</v>
      </c>
      <c r="DD3" s="36">
        <v>0</v>
      </c>
      <c r="DE3" s="36">
        <f t="shared" si="9"/>
        <v>0</v>
      </c>
      <c r="DF3" s="36">
        <v>0</v>
      </c>
      <c r="DG3" s="36">
        <v>0</v>
      </c>
      <c r="DH3" s="36">
        <v>0</v>
      </c>
      <c r="DI3" s="36">
        <f t="shared" si="10"/>
        <v>0</v>
      </c>
      <c r="DJ3" s="36">
        <v>7</v>
      </c>
      <c r="DK3" s="36">
        <v>4</v>
      </c>
      <c r="DL3" s="36">
        <v>0</v>
      </c>
      <c r="DM3" s="36">
        <f t="shared" si="11"/>
        <v>5544</v>
      </c>
      <c r="DN3" s="36">
        <v>8</v>
      </c>
      <c r="DO3" s="36">
        <v>0</v>
      </c>
      <c r="DP3" s="36">
        <f t="shared" si="12"/>
        <v>3360</v>
      </c>
      <c r="DQ3" s="33">
        <f t="shared" si="13"/>
        <v>5544</v>
      </c>
      <c r="DR3" s="41" t="s">
        <v>273</v>
      </c>
      <c r="DS3" s="35" t="s">
        <v>274</v>
      </c>
      <c r="DT3" s="30" t="s">
        <v>275</v>
      </c>
      <c r="DU3" s="36" t="s">
        <v>276</v>
      </c>
      <c r="DV3" s="36" t="s">
        <v>242</v>
      </c>
      <c r="DW3" s="36">
        <v>1320408</v>
      </c>
      <c r="DX3" s="36" t="s">
        <v>277</v>
      </c>
      <c r="DY3" s="2" t="s">
        <v>278</v>
      </c>
      <c r="DZ3" s="2"/>
      <c r="EA3" s="36">
        <v>0</v>
      </c>
      <c r="EB3" s="36">
        <v>0</v>
      </c>
      <c r="EC3" s="36">
        <v>0</v>
      </c>
      <c r="ED3" s="36">
        <v>0</v>
      </c>
      <c r="EE3" s="36">
        <v>0</v>
      </c>
      <c r="EF3" s="36">
        <v>0</v>
      </c>
      <c r="EG3" s="36">
        <v>0</v>
      </c>
      <c r="EH3" s="36">
        <v>0</v>
      </c>
      <c r="EI3" s="36">
        <v>0</v>
      </c>
      <c r="EJ3" s="36">
        <v>0</v>
      </c>
      <c r="EK3" s="36">
        <v>0</v>
      </c>
      <c r="EL3" s="31">
        <f t="shared" si="14"/>
        <v>0</v>
      </c>
      <c r="EM3" s="36">
        <v>1</v>
      </c>
      <c r="EN3" s="36">
        <v>2</v>
      </c>
      <c r="EO3" s="36">
        <v>0</v>
      </c>
      <c r="EP3" s="36">
        <v>0</v>
      </c>
      <c r="EQ3" s="36">
        <v>0</v>
      </c>
      <c r="ER3" s="36">
        <v>0</v>
      </c>
      <c r="ES3" s="36">
        <v>0</v>
      </c>
      <c r="ET3" s="36">
        <v>1</v>
      </c>
      <c r="EU3" s="36">
        <v>0</v>
      </c>
      <c r="EV3" s="36">
        <v>2</v>
      </c>
      <c r="EW3" s="36">
        <v>0</v>
      </c>
      <c r="EX3" s="36">
        <v>0</v>
      </c>
      <c r="EY3" s="36">
        <v>0</v>
      </c>
      <c r="EZ3" s="36">
        <v>0</v>
      </c>
      <c r="FA3" s="36">
        <v>0</v>
      </c>
      <c r="FB3" s="36">
        <v>1</v>
      </c>
      <c r="FC3" s="36">
        <v>0</v>
      </c>
      <c r="FD3" s="32">
        <f t="shared" si="15"/>
        <v>7</v>
      </c>
      <c r="FE3" s="36">
        <v>0</v>
      </c>
      <c r="FF3" s="36">
        <v>0</v>
      </c>
      <c r="FG3" s="36">
        <v>0</v>
      </c>
      <c r="FH3" s="36">
        <f t="shared" si="16"/>
        <v>0</v>
      </c>
      <c r="FI3" s="36">
        <v>0</v>
      </c>
      <c r="FJ3" s="36">
        <v>0</v>
      </c>
      <c r="FK3" s="36">
        <v>0</v>
      </c>
      <c r="FL3" s="36">
        <f t="shared" si="17"/>
        <v>0</v>
      </c>
      <c r="FM3" s="36">
        <v>7</v>
      </c>
      <c r="FN3" s="36">
        <v>1</v>
      </c>
      <c r="FO3" s="36">
        <v>0</v>
      </c>
      <c r="FP3" s="36">
        <f t="shared" si="18"/>
        <v>1386</v>
      </c>
      <c r="FQ3" s="36">
        <v>12</v>
      </c>
      <c r="FR3" s="36">
        <v>0</v>
      </c>
      <c r="FS3" s="36">
        <f t="shared" si="19"/>
        <v>5040</v>
      </c>
      <c r="FT3" s="33">
        <f t="shared" si="20"/>
        <v>1386</v>
      </c>
      <c r="FU3" s="41" t="s">
        <v>279</v>
      </c>
      <c r="FV3" s="35" t="s">
        <v>279</v>
      </c>
      <c r="FW3" s="30" t="s">
        <v>280</v>
      </c>
      <c r="FX3" s="36" t="s">
        <v>281</v>
      </c>
      <c r="FY3" s="36" t="s">
        <v>247</v>
      </c>
      <c r="FZ3" s="36">
        <v>1340755</v>
      </c>
      <c r="GA3" s="36">
        <v>45</v>
      </c>
      <c r="GB3" s="2" t="s">
        <v>282</v>
      </c>
      <c r="GC3" s="2"/>
      <c r="GD3" s="36">
        <v>0</v>
      </c>
      <c r="GE3" s="36">
        <v>0</v>
      </c>
      <c r="GF3" s="36">
        <v>0</v>
      </c>
      <c r="GG3" s="36">
        <v>0</v>
      </c>
      <c r="GH3" s="36">
        <v>0</v>
      </c>
      <c r="GI3" s="36">
        <v>0</v>
      </c>
      <c r="GJ3" s="36">
        <v>0</v>
      </c>
      <c r="GK3" s="36">
        <v>0</v>
      </c>
      <c r="GL3" s="36">
        <v>0</v>
      </c>
      <c r="GM3" s="36">
        <v>0</v>
      </c>
      <c r="GN3" s="36">
        <v>0</v>
      </c>
      <c r="GO3" s="31">
        <f t="shared" si="21"/>
        <v>0</v>
      </c>
      <c r="GP3" s="36">
        <v>0</v>
      </c>
      <c r="GQ3" s="36">
        <v>0</v>
      </c>
      <c r="GR3" s="36">
        <v>0</v>
      </c>
      <c r="GS3" s="36">
        <v>0</v>
      </c>
      <c r="GT3" s="36">
        <v>0</v>
      </c>
      <c r="GU3" s="36">
        <v>0</v>
      </c>
      <c r="GV3" s="36">
        <v>0</v>
      </c>
      <c r="GW3" s="36">
        <v>0</v>
      </c>
      <c r="GX3" s="36">
        <v>0</v>
      </c>
      <c r="GY3" s="36">
        <v>1</v>
      </c>
      <c r="GZ3" s="36">
        <v>0</v>
      </c>
      <c r="HA3" s="36">
        <v>0</v>
      </c>
      <c r="HB3" s="36">
        <v>0</v>
      </c>
      <c r="HC3" s="36">
        <v>1</v>
      </c>
      <c r="HD3" s="36">
        <v>0</v>
      </c>
      <c r="HE3" s="36">
        <v>0</v>
      </c>
      <c r="HF3" s="36">
        <v>0</v>
      </c>
      <c r="HG3" s="32">
        <f t="shared" si="22"/>
        <v>2</v>
      </c>
      <c r="HH3" s="36">
        <v>0</v>
      </c>
      <c r="HI3" s="36">
        <v>0</v>
      </c>
      <c r="HJ3" s="36">
        <v>0</v>
      </c>
      <c r="HK3" s="36">
        <f t="shared" ref="HK2:HK8" si="27">8*(HH3*(HI3*60+HJ3))</f>
        <v>0</v>
      </c>
      <c r="HL3" s="36">
        <v>0</v>
      </c>
      <c r="HM3" s="36">
        <v>0</v>
      </c>
      <c r="HN3" s="36">
        <v>0</v>
      </c>
      <c r="HO3" s="36">
        <f t="shared" si="23"/>
        <v>0</v>
      </c>
      <c r="HP3" s="36">
        <v>7</v>
      </c>
      <c r="HQ3" s="36">
        <v>2</v>
      </c>
      <c r="HR3" s="36">
        <v>0</v>
      </c>
      <c r="HS3" s="36">
        <f t="shared" si="24"/>
        <v>2772</v>
      </c>
      <c r="HT3" s="36">
        <v>2</v>
      </c>
      <c r="HU3" s="36">
        <v>0</v>
      </c>
      <c r="HV3" s="36">
        <f t="shared" si="25"/>
        <v>840</v>
      </c>
      <c r="HW3" s="33">
        <f t="shared" si="26"/>
        <v>2772</v>
      </c>
      <c r="HX3" s="41" t="s">
        <v>279</v>
      </c>
      <c r="HY3" s="35" t="s">
        <v>279</v>
      </c>
      <c r="HZ3" s="64" t="s">
        <v>239</v>
      </c>
      <c r="IA3" s="36" t="s">
        <v>239</v>
      </c>
    </row>
    <row r="4" spans="1:235" s="36" customFormat="1" ht="97.5" customHeight="1">
      <c r="A4" s="36" t="s">
        <v>231</v>
      </c>
      <c r="B4" s="30" t="s">
        <v>283</v>
      </c>
      <c r="C4" s="2" t="s">
        <v>284</v>
      </c>
      <c r="D4" s="37">
        <v>5447235</v>
      </c>
      <c r="E4" s="36" t="s">
        <v>285</v>
      </c>
      <c r="F4" s="36">
        <v>33</v>
      </c>
      <c r="G4" s="36" t="s">
        <v>235</v>
      </c>
      <c r="H4" s="2" t="s">
        <v>286</v>
      </c>
      <c r="I4" s="36" t="s">
        <v>287</v>
      </c>
      <c r="J4" s="36" t="s">
        <v>288</v>
      </c>
      <c r="K4" s="2" t="s">
        <v>289</v>
      </c>
      <c r="L4" s="29" t="s">
        <v>290</v>
      </c>
      <c r="M4" s="36" t="s">
        <v>239</v>
      </c>
      <c r="N4" s="30" t="s">
        <v>291</v>
      </c>
      <c r="O4" s="52">
        <v>0.55347222222222225</v>
      </c>
      <c r="P4" s="28" t="s">
        <v>247</v>
      </c>
      <c r="Q4" s="28">
        <v>1387947</v>
      </c>
      <c r="R4" s="36">
        <v>45</v>
      </c>
      <c r="S4" s="2" t="s">
        <v>292</v>
      </c>
      <c r="T4" s="2"/>
      <c r="U4" s="36">
        <v>0</v>
      </c>
      <c r="V4" s="36">
        <v>0</v>
      </c>
      <c r="W4" s="36">
        <v>0</v>
      </c>
      <c r="X4" s="36">
        <v>0</v>
      </c>
      <c r="Y4" s="36">
        <v>0</v>
      </c>
      <c r="Z4" s="36">
        <v>0</v>
      </c>
      <c r="AA4" s="36">
        <v>0</v>
      </c>
      <c r="AB4" s="36">
        <v>0</v>
      </c>
      <c r="AC4" s="36">
        <v>0</v>
      </c>
      <c r="AD4" s="36">
        <v>0</v>
      </c>
      <c r="AE4" s="36">
        <v>0</v>
      </c>
      <c r="AF4" s="39">
        <f t="shared" si="0"/>
        <v>0</v>
      </c>
      <c r="AG4" s="36">
        <v>3</v>
      </c>
      <c r="AH4" s="36">
        <v>1</v>
      </c>
      <c r="AI4" s="36">
        <v>1</v>
      </c>
      <c r="AJ4" s="36">
        <v>2</v>
      </c>
      <c r="AK4" s="36">
        <v>2</v>
      </c>
      <c r="AL4" s="36">
        <v>2</v>
      </c>
      <c r="AM4" s="36">
        <v>2</v>
      </c>
      <c r="AN4" s="36">
        <v>2</v>
      </c>
      <c r="AO4" s="36">
        <v>0</v>
      </c>
      <c r="AP4" s="36">
        <v>1</v>
      </c>
      <c r="AQ4" s="36">
        <v>2</v>
      </c>
      <c r="AR4" s="36">
        <v>1</v>
      </c>
      <c r="AS4" s="36">
        <v>1</v>
      </c>
      <c r="AT4" s="36">
        <v>1</v>
      </c>
      <c r="AU4" s="36">
        <v>0</v>
      </c>
      <c r="AV4" s="36">
        <v>2</v>
      </c>
      <c r="AW4" s="36">
        <v>0</v>
      </c>
      <c r="AX4" s="40">
        <f t="shared" ref="AX4:AX6" si="28">SUM(AG4:AW4)</f>
        <v>23</v>
      </c>
      <c r="AY4" s="36">
        <v>0</v>
      </c>
      <c r="AZ4" s="36">
        <v>0</v>
      </c>
      <c r="BA4" s="36">
        <v>0</v>
      </c>
      <c r="BB4" s="36">
        <f t="shared" ref="BB4:BB12" si="29">8*(AY4*(AZ4*60+BA4))</f>
        <v>0</v>
      </c>
      <c r="BC4" s="36">
        <v>0</v>
      </c>
      <c r="BD4" s="36">
        <v>0</v>
      </c>
      <c r="BE4" s="36">
        <v>0</v>
      </c>
      <c r="BF4" s="36">
        <f t="shared" si="3"/>
        <v>0</v>
      </c>
      <c r="BG4" s="36">
        <v>6</v>
      </c>
      <c r="BH4" s="36">
        <v>1</v>
      </c>
      <c r="BI4" s="36">
        <v>0</v>
      </c>
      <c r="BJ4" s="36">
        <f t="shared" si="4"/>
        <v>1188</v>
      </c>
      <c r="BK4" s="36">
        <v>5</v>
      </c>
      <c r="BL4" s="36">
        <v>30</v>
      </c>
      <c r="BM4" s="36">
        <f t="shared" si="5"/>
        <v>2310</v>
      </c>
      <c r="BN4" s="33">
        <f t="shared" si="6"/>
        <v>1188</v>
      </c>
      <c r="BO4" s="33"/>
      <c r="BP4" s="34"/>
      <c r="BQ4" s="30" t="s">
        <v>293</v>
      </c>
      <c r="BR4" s="52">
        <v>0.4375</v>
      </c>
      <c r="BS4" s="28" t="s">
        <v>247</v>
      </c>
      <c r="BT4" s="2">
        <v>1394266</v>
      </c>
      <c r="BU4" s="36">
        <v>44</v>
      </c>
      <c r="BV4" s="2" t="s">
        <v>294</v>
      </c>
      <c r="BW4" s="2"/>
      <c r="BX4" s="36">
        <v>0</v>
      </c>
      <c r="BY4" s="36">
        <v>0</v>
      </c>
      <c r="BZ4" s="36">
        <v>0</v>
      </c>
      <c r="CA4" s="36">
        <v>0</v>
      </c>
      <c r="CB4" s="36">
        <v>0</v>
      </c>
      <c r="CC4" s="36">
        <v>0</v>
      </c>
      <c r="CD4" s="36">
        <v>0</v>
      </c>
      <c r="CE4" s="36">
        <v>0</v>
      </c>
      <c r="CF4" s="36">
        <v>0</v>
      </c>
      <c r="CG4" s="36">
        <v>0</v>
      </c>
      <c r="CH4" s="36">
        <v>0</v>
      </c>
      <c r="CI4" s="31">
        <v>0</v>
      </c>
      <c r="CJ4" s="36">
        <v>1</v>
      </c>
      <c r="CK4" s="36">
        <v>0</v>
      </c>
      <c r="CL4" s="36">
        <v>0</v>
      </c>
      <c r="CM4" s="36">
        <v>2</v>
      </c>
      <c r="CN4" s="36">
        <v>0</v>
      </c>
      <c r="CO4" s="36">
        <v>1</v>
      </c>
      <c r="CP4" s="36">
        <v>1</v>
      </c>
      <c r="CQ4" s="36">
        <v>0</v>
      </c>
      <c r="CR4" s="36">
        <v>0</v>
      </c>
      <c r="CS4" s="36">
        <v>0</v>
      </c>
      <c r="CT4" s="36">
        <v>0</v>
      </c>
      <c r="CU4" s="36">
        <v>0</v>
      </c>
      <c r="CV4" s="36">
        <v>0</v>
      </c>
      <c r="CW4" s="36">
        <v>0</v>
      </c>
      <c r="CX4" s="36">
        <v>0</v>
      </c>
      <c r="CY4" s="36">
        <v>1</v>
      </c>
      <c r="CZ4" s="36">
        <v>0</v>
      </c>
      <c r="DA4" s="32">
        <f t="shared" si="8"/>
        <v>6</v>
      </c>
      <c r="DB4" s="36">
        <v>0</v>
      </c>
      <c r="DC4" s="36">
        <v>0</v>
      </c>
      <c r="DD4" s="36">
        <v>0</v>
      </c>
      <c r="DE4" s="36">
        <f t="shared" si="9"/>
        <v>0</v>
      </c>
      <c r="DF4" s="36">
        <v>1</v>
      </c>
      <c r="DG4" s="36">
        <v>0</v>
      </c>
      <c r="DH4" s="36">
        <v>15</v>
      </c>
      <c r="DI4" s="36">
        <f t="shared" si="10"/>
        <v>60</v>
      </c>
      <c r="DJ4" s="36">
        <v>7</v>
      </c>
      <c r="DK4" s="36">
        <v>0</v>
      </c>
      <c r="DL4" s="36">
        <v>45</v>
      </c>
      <c r="DM4" s="36">
        <f t="shared" si="11"/>
        <v>1039.5</v>
      </c>
      <c r="DN4" s="36">
        <v>6</v>
      </c>
      <c r="DO4" s="36">
        <v>0</v>
      </c>
      <c r="DP4" s="36">
        <f t="shared" si="12"/>
        <v>2520</v>
      </c>
      <c r="DQ4" s="33">
        <f t="shared" si="13"/>
        <v>1099.5</v>
      </c>
      <c r="DR4" s="33"/>
      <c r="DS4" s="34"/>
      <c r="DT4" s="30" t="s">
        <v>295</v>
      </c>
      <c r="DU4" s="52">
        <v>0.59305555555555556</v>
      </c>
      <c r="DV4" s="54" t="s">
        <v>242</v>
      </c>
      <c r="DW4" s="54">
        <v>1399663</v>
      </c>
      <c r="DX4" s="36">
        <v>40</v>
      </c>
      <c r="DY4" s="54" t="s">
        <v>296</v>
      </c>
      <c r="DZ4" s="54"/>
      <c r="EA4" s="36">
        <v>0</v>
      </c>
      <c r="EB4" s="36">
        <v>0</v>
      </c>
      <c r="EC4" s="36">
        <v>0</v>
      </c>
      <c r="ED4" s="36">
        <v>0</v>
      </c>
      <c r="EE4" s="36">
        <v>0</v>
      </c>
      <c r="EF4" s="36">
        <v>0</v>
      </c>
      <c r="EG4" s="36">
        <v>0</v>
      </c>
      <c r="EH4" s="36">
        <v>0</v>
      </c>
      <c r="EI4" s="36">
        <v>0</v>
      </c>
      <c r="EJ4" s="36">
        <v>0</v>
      </c>
      <c r="EK4" s="36">
        <v>0</v>
      </c>
      <c r="EL4" s="31">
        <f t="shared" si="14"/>
        <v>0</v>
      </c>
      <c r="EM4" s="36">
        <v>0</v>
      </c>
      <c r="EN4" s="36">
        <v>0</v>
      </c>
      <c r="EO4" s="36">
        <v>0</v>
      </c>
      <c r="EP4" s="36">
        <v>1</v>
      </c>
      <c r="EQ4" s="36">
        <v>0</v>
      </c>
      <c r="ER4" s="36">
        <v>1</v>
      </c>
      <c r="ES4" s="36">
        <v>0</v>
      </c>
      <c r="ET4" s="36">
        <v>0</v>
      </c>
      <c r="EU4" s="36">
        <v>0</v>
      </c>
      <c r="EV4" s="36">
        <v>0</v>
      </c>
      <c r="EW4" s="36">
        <v>1</v>
      </c>
      <c r="EX4" s="36">
        <v>0</v>
      </c>
      <c r="EY4" s="36">
        <v>0</v>
      </c>
      <c r="EZ4" s="36">
        <v>1</v>
      </c>
      <c r="FA4" s="36">
        <v>0</v>
      </c>
      <c r="FB4" s="36">
        <v>0</v>
      </c>
      <c r="FC4" s="36">
        <v>0</v>
      </c>
      <c r="FD4" s="32">
        <f t="shared" si="15"/>
        <v>4</v>
      </c>
      <c r="FE4" s="36">
        <v>0</v>
      </c>
      <c r="FF4" s="36">
        <v>0</v>
      </c>
      <c r="FG4" s="36">
        <v>0</v>
      </c>
      <c r="FH4" s="36">
        <f t="shared" si="16"/>
        <v>0</v>
      </c>
      <c r="FI4" s="36">
        <v>3</v>
      </c>
      <c r="FJ4" s="36">
        <v>0</v>
      </c>
      <c r="FK4" s="36">
        <v>15</v>
      </c>
      <c r="FL4" s="36">
        <f t="shared" si="17"/>
        <v>180</v>
      </c>
      <c r="FM4" s="36">
        <v>7</v>
      </c>
      <c r="FN4" s="36">
        <v>0</v>
      </c>
      <c r="FO4" s="36">
        <v>45</v>
      </c>
      <c r="FP4" s="36">
        <f t="shared" si="18"/>
        <v>1039.5</v>
      </c>
      <c r="FQ4" s="36">
        <v>6</v>
      </c>
      <c r="FR4" s="36">
        <v>0</v>
      </c>
      <c r="FS4" s="36">
        <f t="shared" si="19"/>
        <v>2520</v>
      </c>
      <c r="FT4" s="33">
        <f t="shared" si="20"/>
        <v>1219.5</v>
      </c>
      <c r="FU4" s="33"/>
      <c r="FV4" s="34"/>
      <c r="FW4" s="30"/>
      <c r="GO4" s="31">
        <f t="shared" si="21"/>
        <v>0</v>
      </c>
      <c r="HG4" s="32">
        <f t="shared" si="22"/>
        <v>0</v>
      </c>
      <c r="HK4" s="36">
        <f t="shared" si="27"/>
        <v>0</v>
      </c>
      <c r="HO4" s="36">
        <f t="shared" si="23"/>
        <v>0</v>
      </c>
      <c r="HS4" s="36">
        <f t="shared" si="24"/>
        <v>0</v>
      </c>
      <c r="HV4" s="36">
        <f t="shared" si="25"/>
        <v>0</v>
      </c>
      <c r="HW4" s="33">
        <f t="shared" si="26"/>
        <v>0</v>
      </c>
      <c r="HX4" s="33"/>
      <c r="HY4" s="35"/>
      <c r="HZ4" s="36" t="s">
        <v>239</v>
      </c>
      <c r="IA4" s="36" t="s">
        <v>239</v>
      </c>
    </row>
    <row r="5" spans="1:235" s="36" customFormat="1" ht="97.5" customHeight="1">
      <c r="A5" s="36" t="s">
        <v>231</v>
      </c>
      <c r="B5" s="30" t="s">
        <v>297</v>
      </c>
      <c r="C5" s="54" t="s">
        <v>298</v>
      </c>
      <c r="D5" s="37">
        <v>70099555</v>
      </c>
      <c r="E5" s="36" t="s">
        <v>299</v>
      </c>
      <c r="F5" s="36">
        <v>56</v>
      </c>
      <c r="G5" s="36" t="s">
        <v>300</v>
      </c>
      <c r="H5" s="36" t="s">
        <v>237</v>
      </c>
      <c r="I5" s="36" t="s">
        <v>237</v>
      </c>
      <c r="J5" s="36" t="s">
        <v>237</v>
      </c>
      <c r="K5" s="2" t="s">
        <v>301</v>
      </c>
      <c r="L5" s="37" t="s">
        <v>302</v>
      </c>
      <c r="M5" s="2" t="s">
        <v>239</v>
      </c>
      <c r="N5" s="30" t="s">
        <v>303</v>
      </c>
      <c r="O5" s="52">
        <v>0.54166666666666663</v>
      </c>
      <c r="P5" s="28" t="s">
        <v>247</v>
      </c>
      <c r="Q5" s="28">
        <v>1390823</v>
      </c>
      <c r="R5" s="36">
        <v>47</v>
      </c>
      <c r="S5" s="2" t="s">
        <v>304</v>
      </c>
      <c r="T5" s="2"/>
      <c r="U5" s="36">
        <v>0</v>
      </c>
      <c r="V5" s="36">
        <v>0</v>
      </c>
      <c r="W5" s="36">
        <v>0</v>
      </c>
      <c r="X5" s="36">
        <v>2</v>
      </c>
      <c r="Y5" s="36">
        <v>0</v>
      </c>
      <c r="Z5" s="36">
        <v>0</v>
      </c>
      <c r="AA5" s="36">
        <v>0</v>
      </c>
      <c r="AB5" s="36">
        <v>0</v>
      </c>
      <c r="AC5" s="36">
        <v>0</v>
      </c>
      <c r="AD5" s="36">
        <v>1</v>
      </c>
      <c r="AE5" s="36">
        <v>0</v>
      </c>
      <c r="AF5" s="39">
        <f t="shared" si="0"/>
        <v>3</v>
      </c>
      <c r="AG5" s="36">
        <v>3</v>
      </c>
      <c r="AH5" s="36">
        <v>2</v>
      </c>
      <c r="AI5" s="36">
        <v>1</v>
      </c>
      <c r="AJ5" s="36">
        <v>2</v>
      </c>
      <c r="AK5" s="36">
        <v>0</v>
      </c>
      <c r="AL5" s="36">
        <v>1</v>
      </c>
      <c r="AM5" s="36">
        <v>3</v>
      </c>
      <c r="AN5" s="36">
        <v>2</v>
      </c>
      <c r="AO5" s="36">
        <v>0</v>
      </c>
      <c r="AP5" s="36">
        <v>3</v>
      </c>
      <c r="AQ5" s="36">
        <v>2</v>
      </c>
      <c r="AR5" s="36">
        <v>1</v>
      </c>
      <c r="AS5" s="36">
        <v>1</v>
      </c>
      <c r="AT5" s="36">
        <v>0</v>
      </c>
      <c r="AU5" s="36">
        <v>1</v>
      </c>
      <c r="AV5" s="36">
        <v>0</v>
      </c>
      <c r="AW5" s="36">
        <v>0</v>
      </c>
      <c r="AX5" s="40">
        <f t="shared" si="28"/>
        <v>22</v>
      </c>
      <c r="AY5" s="36">
        <v>0</v>
      </c>
      <c r="AZ5" s="36">
        <v>0</v>
      </c>
      <c r="BA5" s="36">
        <v>50</v>
      </c>
      <c r="BB5" s="36">
        <f t="shared" si="29"/>
        <v>0</v>
      </c>
      <c r="BC5" s="36">
        <v>0</v>
      </c>
      <c r="BD5" s="36">
        <v>0</v>
      </c>
      <c r="BE5" s="36">
        <v>0</v>
      </c>
      <c r="BF5" s="36">
        <f t="shared" si="3"/>
        <v>0</v>
      </c>
      <c r="BG5" s="36">
        <v>7</v>
      </c>
      <c r="BH5" s="36">
        <v>1</v>
      </c>
      <c r="BI5" s="36">
        <v>0</v>
      </c>
      <c r="BJ5" s="36">
        <f t="shared" si="4"/>
        <v>1386</v>
      </c>
      <c r="BK5" s="36">
        <v>9</v>
      </c>
      <c r="BL5" s="36">
        <v>0</v>
      </c>
      <c r="BM5" s="36">
        <f t="shared" si="5"/>
        <v>3780</v>
      </c>
      <c r="BN5" s="33">
        <f t="shared" si="6"/>
        <v>1386</v>
      </c>
      <c r="BO5" s="33"/>
      <c r="BP5" s="34"/>
      <c r="BQ5" s="30" t="s">
        <v>305</v>
      </c>
      <c r="BR5" s="52">
        <v>0.44791666666666669</v>
      </c>
      <c r="BS5" s="28" t="s">
        <v>247</v>
      </c>
      <c r="BT5" s="2">
        <v>1397088</v>
      </c>
      <c r="BU5" s="36">
        <v>46</v>
      </c>
      <c r="BV5" s="2" t="s">
        <v>306</v>
      </c>
      <c r="BW5" s="2"/>
      <c r="BX5" s="36">
        <v>0</v>
      </c>
      <c r="BY5" s="36">
        <v>0</v>
      </c>
      <c r="BZ5" s="36">
        <v>0</v>
      </c>
      <c r="CA5" s="36">
        <v>2</v>
      </c>
      <c r="CB5" s="36">
        <v>0</v>
      </c>
      <c r="CC5" s="36">
        <v>0</v>
      </c>
      <c r="CD5" s="36">
        <v>0</v>
      </c>
      <c r="CE5" s="36">
        <v>0</v>
      </c>
      <c r="CF5" s="36">
        <v>0</v>
      </c>
      <c r="CG5" s="36">
        <v>1</v>
      </c>
      <c r="CH5" s="36">
        <v>0</v>
      </c>
      <c r="CI5" s="31">
        <f t="shared" si="7"/>
        <v>3</v>
      </c>
      <c r="CJ5" s="36">
        <v>0</v>
      </c>
      <c r="CK5" s="36">
        <v>0</v>
      </c>
      <c r="CL5" s="36">
        <v>0</v>
      </c>
      <c r="CM5" s="36">
        <v>0</v>
      </c>
      <c r="CN5" s="36">
        <v>2</v>
      </c>
      <c r="CO5" s="36">
        <v>0</v>
      </c>
      <c r="CP5" s="36">
        <v>0</v>
      </c>
      <c r="CQ5" s="36">
        <v>1</v>
      </c>
      <c r="CR5" s="36">
        <v>0</v>
      </c>
      <c r="CS5" s="36">
        <v>0</v>
      </c>
      <c r="CT5" s="36">
        <v>0</v>
      </c>
      <c r="CU5" s="36">
        <v>0</v>
      </c>
      <c r="CV5" s="36">
        <v>1</v>
      </c>
      <c r="CW5" s="36">
        <v>0</v>
      </c>
      <c r="CX5" s="36">
        <v>0</v>
      </c>
      <c r="CY5" s="36">
        <v>0</v>
      </c>
      <c r="CZ5" s="36">
        <v>0</v>
      </c>
      <c r="DA5" s="32">
        <f t="shared" si="8"/>
        <v>4</v>
      </c>
      <c r="DB5" s="36">
        <v>0</v>
      </c>
      <c r="DC5" s="36">
        <v>0</v>
      </c>
      <c r="DD5" s="36">
        <v>0</v>
      </c>
      <c r="DE5" s="36">
        <f t="shared" si="9"/>
        <v>0</v>
      </c>
      <c r="DF5" s="36">
        <v>7</v>
      </c>
      <c r="DG5" s="36">
        <v>0</v>
      </c>
      <c r="DH5" s="36">
        <v>15</v>
      </c>
      <c r="DI5" s="36">
        <f t="shared" si="10"/>
        <v>420</v>
      </c>
      <c r="DJ5" s="36">
        <v>0</v>
      </c>
      <c r="DK5" s="36">
        <v>0</v>
      </c>
      <c r="DL5" s="36">
        <v>0</v>
      </c>
      <c r="DM5" s="36">
        <v>0</v>
      </c>
      <c r="DN5" s="36">
        <v>10</v>
      </c>
      <c r="DO5" s="36">
        <v>0</v>
      </c>
      <c r="DP5" s="36">
        <f t="shared" si="12"/>
        <v>4200</v>
      </c>
      <c r="DQ5" s="33">
        <f t="shared" si="13"/>
        <v>420</v>
      </c>
      <c r="DR5" s="33"/>
      <c r="DS5" s="34" t="s">
        <v>307</v>
      </c>
      <c r="DT5" s="30"/>
      <c r="DV5" s="55"/>
      <c r="EL5" s="31">
        <f t="shared" si="14"/>
        <v>0</v>
      </c>
      <c r="FD5" s="32">
        <f t="shared" si="15"/>
        <v>0</v>
      </c>
      <c r="FH5" s="36">
        <f t="shared" si="16"/>
        <v>0</v>
      </c>
      <c r="FL5" s="36">
        <f t="shared" si="17"/>
        <v>0</v>
      </c>
      <c r="FP5" s="36">
        <f t="shared" si="18"/>
        <v>0</v>
      </c>
      <c r="FS5" s="36">
        <f t="shared" si="19"/>
        <v>0</v>
      </c>
      <c r="FT5" s="33">
        <f t="shared" si="20"/>
        <v>0</v>
      </c>
      <c r="FU5" s="33"/>
      <c r="FV5" s="34"/>
      <c r="FW5" s="30" t="s">
        <v>308</v>
      </c>
      <c r="FX5" s="52">
        <v>0.4375</v>
      </c>
      <c r="FY5" s="28" t="s">
        <v>247</v>
      </c>
      <c r="FZ5" s="28">
        <v>1407486</v>
      </c>
      <c r="GA5" s="36">
        <v>29</v>
      </c>
      <c r="GB5" s="2" t="s">
        <v>309</v>
      </c>
      <c r="GC5" s="2"/>
      <c r="GD5" s="36">
        <v>0</v>
      </c>
      <c r="GE5" s="36">
        <v>0</v>
      </c>
      <c r="GF5" s="36">
        <v>0</v>
      </c>
      <c r="GG5" s="36">
        <v>0</v>
      </c>
      <c r="GH5" s="36">
        <v>0</v>
      </c>
      <c r="GI5" s="36">
        <v>0</v>
      </c>
      <c r="GJ5" s="36">
        <v>0</v>
      </c>
      <c r="GK5" s="36">
        <v>0</v>
      </c>
      <c r="GL5" s="36">
        <v>0</v>
      </c>
      <c r="GM5" s="36">
        <v>0</v>
      </c>
      <c r="GN5" s="36">
        <v>0</v>
      </c>
      <c r="GO5" s="31">
        <f t="shared" si="21"/>
        <v>0</v>
      </c>
      <c r="GP5" s="36">
        <v>0</v>
      </c>
      <c r="GQ5" s="36">
        <v>0</v>
      </c>
      <c r="GR5" s="36">
        <v>0</v>
      </c>
      <c r="GS5" s="36">
        <v>2</v>
      </c>
      <c r="GT5" s="36">
        <v>0</v>
      </c>
      <c r="GU5" s="36">
        <v>0</v>
      </c>
      <c r="GV5" s="36">
        <v>0</v>
      </c>
      <c r="GW5" s="36">
        <v>0</v>
      </c>
      <c r="GX5" s="36">
        <v>0</v>
      </c>
      <c r="GY5" s="36">
        <v>0</v>
      </c>
      <c r="GZ5" s="36">
        <v>0</v>
      </c>
      <c r="HA5" s="36">
        <v>0</v>
      </c>
      <c r="HB5" s="36">
        <v>0</v>
      </c>
      <c r="HC5" s="36">
        <v>0</v>
      </c>
      <c r="HD5" s="36">
        <v>0</v>
      </c>
      <c r="HE5" s="36">
        <v>1</v>
      </c>
      <c r="HF5" s="36">
        <v>0</v>
      </c>
      <c r="HG5" s="32">
        <f t="shared" si="22"/>
        <v>3</v>
      </c>
      <c r="HH5" s="36">
        <v>0</v>
      </c>
      <c r="HI5" s="36">
        <v>0</v>
      </c>
      <c r="HJ5" s="36">
        <v>0</v>
      </c>
      <c r="HK5" s="36">
        <f t="shared" si="27"/>
        <v>0</v>
      </c>
      <c r="HL5" s="36">
        <v>0</v>
      </c>
      <c r="HM5" s="36">
        <v>0</v>
      </c>
      <c r="HN5" s="36">
        <v>0</v>
      </c>
      <c r="HO5" s="36">
        <f t="shared" si="23"/>
        <v>0</v>
      </c>
      <c r="HP5" s="36">
        <v>7</v>
      </c>
      <c r="HQ5" s="36">
        <v>1</v>
      </c>
      <c r="HR5" s="36">
        <v>0</v>
      </c>
      <c r="HS5" s="36">
        <f t="shared" si="24"/>
        <v>1386</v>
      </c>
      <c r="HT5" s="36">
        <v>6</v>
      </c>
      <c r="HU5" s="36">
        <v>0</v>
      </c>
      <c r="HV5" s="36">
        <f t="shared" si="25"/>
        <v>2520</v>
      </c>
      <c r="HW5" s="33">
        <f t="shared" si="26"/>
        <v>1386</v>
      </c>
      <c r="HX5" s="33"/>
      <c r="HY5" s="35"/>
      <c r="HZ5" s="36" t="s">
        <v>239</v>
      </c>
      <c r="IA5" s="36" t="s">
        <v>239</v>
      </c>
    </row>
    <row r="6" spans="1:235" s="36" customFormat="1" ht="97.5" customHeight="1">
      <c r="A6" s="36" t="s">
        <v>231</v>
      </c>
      <c r="B6" s="30" t="s">
        <v>310</v>
      </c>
      <c r="C6" s="28" t="s">
        <v>311</v>
      </c>
      <c r="D6" s="37">
        <v>5371126</v>
      </c>
      <c r="E6" s="36" t="s">
        <v>312</v>
      </c>
      <c r="F6" s="36">
        <v>40</v>
      </c>
      <c r="G6" s="36" t="s">
        <v>300</v>
      </c>
      <c r="H6" s="36" t="s">
        <v>237</v>
      </c>
      <c r="I6" s="36" t="s">
        <v>237</v>
      </c>
      <c r="J6" s="36" t="s">
        <v>237</v>
      </c>
      <c r="K6" s="36" t="s">
        <v>313</v>
      </c>
      <c r="L6" s="129" t="s">
        <v>314</v>
      </c>
      <c r="M6" s="54" t="s">
        <v>239</v>
      </c>
      <c r="N6" s="30" t="s">
        <v>315</v>
      </c>
      <c r="O6" s="52">
        <v>0.54166666666666663</v>
      </c>
      <c r="P6" s="54" t="s">
        <v>247</v>
      </c>
      <c r="Q6" s="28">
        <v>1401906</v>
      </c>
      <c r="R6" s="36">
        <v>51</v>
      </c>
      <c r="S6" s="2" t="s">
        <v>316</v>
      </c>
      <c r="T6" s="2"/>
      <c r="U6" s="36">
        <v>0</v>
      </c>
      <c r="V6" s="36">
        <v>0</v>
      </c>
      <c r="W6" s="36">
        <v>0</v>
      </c>
      <c r="X6" s="36">
        <v>2</v>
      </c>
      <c r="Y6" s="36">
        <v>0</v>
      </c>
      <c r="Z6" s="36">
        <v>0</v>
      </c>
      <c r="AA6" s="36">
        <v>0</v>
      </c>
      <c r="AB6" s="36">
        <v>0</v>
      </c>
      <c r="AC6" s="36">
        <v>0</v>
      </c>
      <c r="AD6" s="36">
        <v>0</v>
      </c>
      <c r="AE6" s="36">
        <v>0</v>
      </c>
      <c r="AF6" s="39">
        <f t="shared" si="0"/>
        <v>2</v>
      </c>
      <c r="AG6" s="36">
        <v>3</v>
      </c>
      <c r="AH6" s="36">
        <v>2</v>
      </c>
      <c r="AI6" s="36">
        <v>1</v>
      </c>
      <c r="AJ6" s="36">
        <v>0</v>
      </c>
      <c r="AK6" s="36">
        <v>2</v>
      </c>
      <c r="AL6" s="36">
        <v>0</v>
      </c>
      <c r="AM6" s="36">
        <v>3</v>
      </c>
      <c r="AN6" s="36">
        <v>2</v>
      </c>
      <c r="AO6" s="36">
        <v>0</v>
      </c>
      <c r="AP6" s="36">
        <v>2</v>
      </c>
      <c r="AQ6" s="36">
        <v>1</v>
      </c>
      <c r="AR6" s="36">
        <v>1</v>
      </c>
      <c r="AS6" s="36">
        <v>1</v>
      </c>
      <c r="AT6" s="36">
        <v>0</v>
      </c>
      <c r="AU6" s="36">
        <v>0</v>
      </c>
      <c r="AV6" s="36">
        <v>2</v>
      </c>
      <c r="AW6" s="36">
        <v>0</v>
      </c>
      <c r="AX6" s="40">
        <f t="shared" si="28"/>
        <v>20</v>
      </c>
      <c r="AY6" s="36">
        <v>0</v>
      </c>
      <c r="AZ6" s="36">
        <v>0</v>
      </c>
      <c r="BA6" s="36">
        <v>0</v>
      </c>
      <c r="BB6" s="36">
        <f t="shared" si="29"/>
        <v>0</v>
      </c>
      <c r="BC6" s="36">
        <v>0</v>
      </c>
      <c r="BD6" s="36">
        <v>0</v>
      </c>
      <c r="BE6" s="36">
        <v>0</v>
      </c>
      <c r="BF6" s="36">
        <f t="shared" si="3"/>
        <v>0</v>
      </c>
      <c r="BG6" s="36">
        <v>7</v>
      </c>
      <c r="BH6" s="36">
        <v>0</v>
      </c>
      <c r="BI6" s="36">
        <v>45</v>
      </c>
      <c r="BJ6" s="36">
        <f t="shared" si="4"/>
        <v>1039.5</v>
      </c>
      <c r="BK6" s="36">
        <v>8</v>
      </c>
      <c r="BL6" s="36">
        <v>0</v>
      </c>
      <c r="BM6" s="36">
        <f t="shared" si="5"/>
        <v>3360</v>
      </c>
      <c r="BN6" s="33">
        <f t="shared" si="6"/>
        <v>1039.5</v>
      </c>
      <c r="BO6" s="33"/>
      <c r="BP6" s="35" t="s">
        <v>317</v>
      </c>
      <c r="BQ6" s="30" t="s">
        <v>318</v>
      </c>
      <c r="BR6" s="52">
        <v>0.66666666666666663</v>
      </c>
      <c r="BS6" s="28" t="s">
        <v>247</v>
      </c>
      <c r="BT6" s="2">
        <v>1410769</v>
      </c>
      <c r="BU6" s="36">
        <v>52</v>
      </c>
      <c r="BV6" s="2" t="s">
        <v>319</v>
      </c>
      <c r="BW6" s="2"/>
      <c r="BX6" s="36">
        <v>1</v>
      </c>
      <c r="BY6" s="36">
        <v>0</v>
      </c>
      <c r="BZ6" s="36">
        <v>0</v>
      </c>
      <c r="CA6" s="36">
        <v>2</v>
      </c>
      <c r="CB6" s="36">
        <v>0</v>
      </c>
      <c r="CC6" s="36">
        <v>2</v>
      </c>
      <c r="CD6" s="36">
        <v>0</v>
      </c>
      <c r="CE6" s="36">
        <v>0</v>
      </c>
      <c r="CF6" s="36">
        <v>0</v>
      </c>
      <c r="CG6" s="36">
        <v>0</v>
      </c>
      <c r="CH6" s="36">
        <v>0</v>
      </c>
      <c r="CI6" s="31">
        <f>SUM(BX6:CH6)</f>
        <v>5</v>
      </c>
      <c r="CJ6" s="36">
        <v>1</v>
      </c>
      <c r="CK6" s="36">
        <v>0</v>
      </c>
      <c r="CL6" s="36">
        <v>0</v>
      </c>
      <c r="CM6" s="36">
        <v>2</v>
      </c>
      <c r="CN6" s="36">
        <v>1</v>
      </c>
      <c r="CO6" s="36">
        <v>0</v>
      </c>
      <c r="CP6" s="36">
        <v>1</v>
      </c>
      <c r="CQ6" s="36">
        <v>0</v>
      </c>
      <c r="CR6" s="36">
        <v>0</v>
      </c>
      <c r="CS6" s="36">
        <v>0</v>
      </c>
      <c r="CT6" s="36">
        <v>0</v>
      </c>
      <c r="CU6" s="36">
        <v>0</v>
      </c>
      <c r="CV6" s="36">
        <v>0</v>
      </c>
      <c r="CW6" s="36">
        <v>0</v>
      </c>
      <c r="CX6" s="36">
        <v>0</v>
      </c>
      <c r="CY6" s="36">
        <v>0</v>
      </c>
      <c r="CZ6" s="36">
        <v>0</v>
      </c>
      <c r="DA6" s="32">
        <f>SUM(CJ6:CZ6)</f>
        <v>5</v>
      </c>
      <c r="DB6" s="36">
        <v>0</v>
      </c>
      <c r="DC6" s="36">
        <v>0</v>
      </c>
      <c r="DD6" s="36">
        <v>0</v>
      </c>
      <c r="DE6" s="36">
        <f t="shared" si="9"/>
        <v>0</v>
      </c>
      <c r="DF6" s="36">
        <v>0</v>
      </c>
      <c r="DG6" s="36">
        <v>0</v>
      </c>
      <c r="DH6" s="36">
        <v>0</v>
      </c>
      <c r="DI6" s="36">
        <f t="shared" si="10"/>
        <v>0</v>
      </c>
      <c r="DJ6" s="36">
        <v>7</v>
      </c>
      <c r="DK6" s="36">
        <v>0</v>
      </c>
      <c r="DL6" s="36">
        <v>30</v>
      </c>
      <c r="DM6" s="36">
        <f t="shared" si="11"/>
        <v>693</v>
      </c>
      <c r="DN6" s="36">
        <v>9</v>
      </c>
      <c r="DO6" s="36">
        <v>0</v>
      </c>
      <c r="DP6" s="36">
        <f t="shared" si="12"/>
        <v>3780</v>
      </c>
      <c r="DQ6" s="33">
        <f t="shared" si="13"/>
        <v>693</v>
      </c>
      <c r="DR6" s="33"/>
      <c r="DS6" s="34"/>
      <c r="DT6" s="30"/>
      <c r="EL6" s="31"/>
      <c r="FD6" s="32"/>
      <c r="FH6" s="36">
        <f t="shared" si="16"/>
        <v>0</v>
      </c>
      <c r="FL6" s="36">
        <f t="shared" si="17"/>
        <v>0</v>
      </c>
      <c r="FP6" s="36">
        <f t="shared" si="18"/>
        <v>0</v>
      </c>
      <c r="FS6" s="36">
        <f t="shared" si="19"/>
        <v>0</v>
      </c>
      <c r="FT6" s="33">
        <f t="shared" si="20"/>
        <v>0</v>
      </c>
      <c r="FU6" s="33"/>
      <c r="FV6" s="34"/>
      <c r="FW6" s="30"/>
      <c r="GO6" s="31">
        <f t="shared" si="21"/>
        <v>0</v>
      </c>
      <c r="HG6" s="32">
        <f t="shared" si="22"/>
        <v>0</v>
      </c>
      <c r="HK6" s="36">
        <f t="shared" si="27"/>
        <v>0</v>
      </c>
      <c r="HO6" s="36">
        <f t="shared" si="23"/>
        <v>0</v>
      </c>
      <c r="HS6" s="36">
        <f t="shared" si="24"/>
        <v>0</v>
      </c>
      <c r="HV6" s="36">
        <f t="shared" si="25"/>
        <v>0</v>
      </c>
      <c r="HW6" s="33">
        <f t="shared" si="26"/>
        <v>0</v>
      </c>
      <c r="HX6" s="33"/>
      <c r="HY6" s="35"/>
      <c r="HZ6" s="36" t="s">
        <v>239</v>
      </c>
      <c r="IA6" s="36" t="s">
        <v>239</v>
      </c>
    </row>
    <row r="7" spans="1:235" s="36" customFormat="1" ht="97.5" customHeight="1">
      <c r="A7" s="36" t="s">
        <v>320</v>
      </c>
      <c r="B7" s="30" t="s">
        <v>310</v>
      </c>
      <c r="C7" s="2" t="s">
        <v>321</v>
      </c>
      <c r="D7" s="37">
        <v>70031476</v>
      </c>
      <c r="E7" s="36" t="s">
        <v>322</v>
      </c>
      <c r="F7" s="36">
        <v>60</v>
      </c>
      <c r="G7" s="36" t="s">
        <v>323</v>
      </c>
      <c r="H7" s="36" t="s">
        <v>237</v>
      </c>
      <c r="I7" s="36" t="s">
        <v>237</v>
      </c>
      <c r="J7" s="36" t="s">
        <v>237</v>
      </c>
      <c r="K7" s="2" t="s">
        <v>324</v>
      </c>
      <c r="L7" s="29" t="s">
        <v>325</v>
      </c>
      <c r="M7" s="36" t="s">
        <v>239</v>
      </c>
      <c r="N7" s="30" t="s">
        <v>326</v>
      </c>
      <c r="O7" s="52">
        <v>0.5625</v>
      </c>
      <c r="P7" s="28" t="s">
        <v>247</v>
      </c>
      <c r="Q7" s="36">
        <v>1431310</v>
      </c>
      <c r="R7" s="36">
        <v>47</v>
      </c>
      <c r="S7" s="2" t="s">
        <v>327</v>
      </c>
      <c r="T7" s="2"/>
      <c r="U7" s="36">
        <v>0</v>
      </c>
      <c r="V7" s="36">
        <v>0</v>
      </c>
      <c r="W7" s="36">
        <v>0</v>
      </c>
      <c r="X7" s="36">
        <v>2</v>
      </c>
      <c r="Y7" s="36">
        <v>0</v>
      </c>
      <c r="Z7" s="36">
        <v>0</v>
      </c>
      <c r="AA7" s="36">
        <v>0</v>
      </c>
      <c r="AB7" s="36">
        <v>0</v>
      </c>
      <c r="AC7" s="36">
        <v>0</v>
      </c>
      <c r="AD7" s="36">
        <v>2</v>
      </c>
      <c r="AE7" s="36">
        <v>0</v>
      </c>
      <c r="AF7" s="39">
        <f t="shared" si="0"/>
        <v>4</v>
      </c>
      <c r="AG7" s="36">
        <v>3</v>
      </c>
      <c r="AH7" s="36">
        <v>2</v>
      </c>
      <c r="AI7" s="36">
        <v>0</v>
      </c>
      <c r="AJ7" s="36">
        <v>0</v>
      </c>
      <c r="AK7" s="36">
        <v>2</v>
      </c>
      <c r="AL7" s="36">
        <v>0</v>
      </c>
      <c r="AM7" s="36">
        <v>3</v>
      </c>
      <c r="AN7" s="36">
        <v>1</v>
      </c>
      <c r="AO7" s="36">
        <v>1</v>
      </c>
      <c r="AP7" s="36">
        <v>3</v>
      </c>
      <c r="AQ7" s="36">
        <v>1</v>
      </c>
      <c r="AR7" s="36">
        <v>1</v>
      </c>
      <c r="AS7" s="36">
        <v>1</v>
      </c>
      <c r="AT7" s="36">
        <v>0</v>
      </c>
      <c r="AU7" s="36">
        <v>0</v>
      </c>
      <c r="AV7" s="36">
        <v>0</v>
      </c>
      <c r="AW7" s="36">
        <v>0</v>
      </c>
      <c r="AX7" s="40">
        <f t="shared" si="1"/>
        <v>18</v>
      </c>
      <c r="AY7" s="36">
        <v>0</v>
      </c>
      <c r="AZ7" s="36">
        <v>0</v>
      </c>
      <c r="BA7" s="36">
        <v>0</v>
      </c>
      <c r="BB7" s="36">
        <f t="shared" si="29"/>
        <v>0</v>
      </c>
      <c r="BC7" s="36">
        <v>0</v>
      </c>
      <c r="BD7" s="36">
        <v>0</v>
      </c>
      <c r="BE7" s="36">
        <v>0</v>
      </c>
      <c r="BF7" s="36">
        <f t="shared" si="3"/>
        <v>0</v>
      </c>
      <c r="BG7" s="36">
        <v>0</v>
      </c>
      <c r="BH7" s="36">
        <v>0</v>
      </c>
      <c r="BI7" s="36">
        <v>0</v>
      </c>
      <c r="BJ7" s="36">
        <f t="shared" si="4"/>
        <v>0</v>
      </c>
      <c r="BK7" s="36">
        <v>11</v>
      </c>
      <c r="BL7" s="36">
        <v>0</v>
      </c>
      <c r="BM7" s="36">
        <f t="shared" si="5"/>
        <v>4620</v>
      </c>
      <c r="BN7" s="33">
        <f t="shared" si="6"/>
        <v>0</v>
      </c>
      <c r="BO7" s="33"/>
      <c r="BP7" s="34"/>
      <c r="BQ7" s="30" t="s">
        <v>256</v>
      </c>
      <c r="BR7" s="52">
        <v>0.70833333333333337</v>
      </c>
      <c r="BS7" s="66" t="s">
        <v>328</v>
      </c>
      <c r="BT7" s="2">
        <v>1455238</v>
      </c>
      <c r="BU7" s="36">
        <v>52</v>
      </c>
      <c r="BV7" s="2" t="s">
        <v>329</v>
      </c>
      <c r="BX7" s="36">
        <v>0</v>
      </c>
      <c r="BY7" s="36">
        <v>0</v>
      </c>
      <c r="BZ7" s="36">
        <v>0</v>
      </c>
      <c r="CA7" s="36">
        <v>0</v>
      </c>
      <c r="CB7" s="36">
        <v>0</v>
      </c>
      <c r="CC7" s="36">
        <v>0</v>
      </c>
      <c r="CD7" s="36">
        <v>0</v>
      </c>
      <c r="CE7" s="36">
        <v>0</v>
      </c>
      <c r="CF7" s="36">
        <v>0</v>
      </c>
      <c r="CG7" s="36">
        <v>2</v>
      </c>
      <c r="CH7" s="36">
        <v>0</v>
      </c>
      <c r="CI7" s="31">
        <f t="shared" si="7"/>
        <v>2</v>
      </c>
      <c r="CJ7" s="132">
        <v>3</v>
      </c>
      <c r="CK7" s="132">
        <v>0</v>
      </c>
      <c r="CL7" s="132">
        <v>0</v>
      </c>
      <c r="CM7" s="132">
        <v>1</v>
      </c>
      <c r="CN7" s="132">
        <v>0</v>
      </c>
      <c r="CO7" s="132">
        <v>0</v>
      </c>
      <c r="CP7" s="132">
        <v>2</v>
      </c>
      <c r="CQ7" s="132">
        <v>2</v>
      </c>
      <c r="CR7" s="132">
        <v>0</v>
      </c>
      <c r="CS7" s="132">
        <v>1</v>
      </c>
      <c r="CT7" s="132">
        <v>0</v>
      </c>
      <c r="CU7" s="132">
        <v>0</v>
      </c>
      <c r="CV7" s="132">
        <v>1</v>
      </c>
      <c r="CW7" s="132">
        <v>0</v>
      </c>
      <c r="CX7" s="132">
        <v>0</v>
      </c>
      <c r="CY7" s="132">
        <v>0</v>
      </c>
      <c r="CZ7" s="132">
        <v>0</v>
      </c>
      <c r="DA7" s="32">
        <f t="shared" si="8"/>
        <v>10</v>
      </c>
      <c r="DB7" s="36">
        <v>0</v>
      </c>
      <c r="DC7" s="36">
        <v>0</v>
      </c>
      <c r="DD7" s="36">
        <v>0</v>
      </c>
      <c r="DE7" s="36">
        <v>0</v>
      </c>
      <c r="DF7" s="36">
        <v>0</v>
      </c>
      <c r="DG7" s="36">
        <v>0</v>
      </c>
      <c r="DH7" s="36">
        <v>0</v>
      </c>
      <c r="DI7" s="36">
        <f t="shared" si="10"/>
        <v>0</v>
      </c>
      <c r="DJ7" s="36">
        <v>7</v>
      </c>
      <c r="DK7" s="36">
        <v>0</v>
      </c>
      <c r="DL7" s="36">
        <v>15</v>
      </c>
      <c r="DM7" s="36">
        <f t="shared" si="11"/>
        <v>346.5</v>
      </c>
      <c r="DN7" s="36">
        <v>10</v>
      </c>
      <c r="DO7" s="36">
        <v>0</v>
      </c>
      <c r="DP7" s="36">
        <f t="shared" si="12"/>
        <v>4200</v>
      </c>
      <c r="DQ7" s="33">
        <f t="shared" si="13"/>
        <v>346.5</v>
      </c>
      <c r="DR7" s="33" t="s">
        <v>239</v>
      </c>
      <c r="DS7" s="34" t="s">
        <v>239</v>
      </c>
      <c r="DT7" s="30"/>
      <c r="EL7" s="31">
        <f t="shared" si="14"/>
        <v>0</v>
      </c>
      <c r="FD7" s="32">
        <f t="shared" ref="FD7:FD13" si="30">SUM(EM7:FC7)</f>
        <v>0</v>
      </c>
      <c r="FH7" s="36">
        <f t="shared" si="16"/>
        <v>0</v>
      </c>
      <c r="FL7" s="36">
        <f t="shared" si="17"/>
        <v>0</v>
      </c>
      <c r="FP7" s="36">
        <f t="shared" si="18"/>
        <v>0</v>
      </c>
      <c r="FS7" s="36">
        <f t="shared" si="19"/>
        <v>0</v>
      </c>
      <c r="FT7" s="33">
        <f t="shared" si="20"/>
        <v>0</v>
      </c>
      <c r="FU7" s="33"/>
      <c r="FV7" s="34"/>
      <c r="FW7" s="30"/>
      <c r="GO7" s="31"/>
      <c r="HG7" s="32"/>
      <c r="HK7" s="36">
        <f t="shared" si="27"/>
        <v>0</v>
      </c>
      <c r="HO7" s="36">
        <f t="shared" si="23"/>
        <v>0</v>
      </c>
      <c r="HS7" s="36">
        <f t="shared" si="24"/>
        <v>0</v>
      </c>
      <c r="HV7" s="36">
        <f t="shared" si="25"/>
        <v>0</v>
      </c>
      <c r="HW7" s="33">
        <f t="shared" si="26"/>
        <v>0</v>
      </c>
      <c r="HX7" s="33"/>
      <c r="HY7" s="35"/>
      <c r="HZ7" s="36" t="s">
        <v>239</v>
      </c>
      <c r="IA7" s="36" t="s">
        <v>239</v>
      </c>
    </row>
    <row r="8" spans="1:235" s="42" customFormat="1" ht="97.5" customHeight="1">
      <c r="A8" s="36" t="s">
        <v>320</v>
      </c>
      <c r="B8" s="30" t="s">
        <v>310</v>
      </c>
      <c r="C8" s="2" t="s">
        <v>330</v>
      </c>
      <c r="D8" s="37">
        <v>4270707</v>
      </c>
      <c r="E8" s="36" t="s">
        <v>331</v>
      </c>
      <c r="F8" s="36">
        <v>60</v>
      </c>
      <c r="G8" s="36" t="s">
        <v>235</v>
      </c>
      <c r="H8" s="36" t="s">
        <v>237</v>
      </c>
      <c r="I8" s="36" t="s">
        <v>237</v>
      </c>
      <c r="J8" s="36" t="s">
        <v>237</v>
      </c>
      <c r="K8" s="2" t="s">
        <v>332</v>
      </c>
      <c r="L8" s="29" t="s">
        <v>333</v>
      </c>
      <c r="M8" s="36" t="s">
        <v>239</v>
      </c>
      <c r="N8" s="30" t="s">
        <v>334</v>
      </c>
      <c r="O8" s="52">
        <v>0.58333333333333337</v>
      </c>
      <c r="P8" s="36" t="s">
        <v>335</v>
      </c>
      <c r="Q8" s="36">
        <v>1444389</v>
      </c>
      <c r="R8" s="36">
        <v>51</v>
      </c>
      <c r="S8" s="2" t="s">
        <v>336</v>
      </c>
      <c r="T8" s="2"/>
      <c r="U8" s="36">
        <v>0</v>
      </c>
      <c r="V8" s="36">
        <v>0</v>
      </c>
      <c r="W8" s="36">
        <v>0</v>
      </c>
      <c r="X8" s="36">
        <v>1</v>
      </c>
      <c r="Y8" s="36">
        <v>0</v>
      </c>
      <c r="Z8" s="36">
        <v>0</v>
      </c>
      <c r="AA8" s="36">
        <v>0</v>
      </c>
      <c r="AB8" s="36">
        <v>0</v>
      </c>
      <c r="AC8" s="36">
        <v>0</v>
      </c>
      <c r="AD8" s="36">
        <v>0</v>
      </c>
      <c r="AE8" s="36">
        <v>0</v>
      </c>
      <c r="AF8" s="39">
        <f t="shared" si="0"/>
        <v>1</v>
      </c>
      <c r="AG8" s="36">
        <v>1</v>
      </c>
      <c r="AH8" s="36">
        <v>0</v>
      </c>
      <c r="AI8" s="36">
        <v>0</v>
      </c>
      <c r="AJ8" s="36">
        <v>0</v>
      </c>
      <c r="AK8" s="36">
        <v>0</v>
      </c>
      <c r="AL8" s="36">
        <v>1</v>
      </c>
      <c r="AM8" s="36">
        <v>3</v>
      </c>
      <c r="AN8" s="36">
        <v>1</v>
      </c>
      <c r="AO8" s="36">
        <v>0</v>
      </c>
      <c r="AP8" s="36">
        <v>2</v>
      </c>
      <c r="AQ8" s="36">
        <v>2</v>
      </c>
      <c r="AR8" s="36">
        <v>0</v>
      </c>
      <c r="AS8" s="36">
        <v>0</v>
      </c>
      <c r="AT8" s="36">
        <v>0</v>
      </c>
      <c r="AU8" s="36">
        <v>1</v>
      </c>
      <c r="AV8" s="36">
        <v>0</v>
      </c>
      <c r="AW8" s="36">
        <v>0</v>
      </c>
      <c r="AX8" s="40">
        <f t="shared" si="1"/>
        <v>11</v>
      </c>
      <c r="AY8" s="36">
        <v>0</v>
      </c>
      <c r="AZ8" s="36">
        <v>0</v>
      </c>
      <c r="BA8" s="36">
        <v>0</v>
      </c>
      <c r="BB8" s="36">
        <f t="shared" si="29"/>
        <v>0</v>
      </c>
      <c r="BC8" s="36">
        <v>0</v>
      </c>
      <c r="BD8" s="36">
        <v>0</v>
      </c>
      <c r="BE8" s="36">
        <v>0</v>
      </c>
      <c r="BF8" s="36">
        <f t="shared" si="3"/>
        <v>0</v>
      </c>
      <c r="BG8" s="36">
        <v>4</v>
      </c>
      <c r="BH8" s="36">
        <v>1</v>
      </c>
      <c r="BI8" s="36">
        <v>0</v>
      </c>
      <c r="BJ8" s="36">
        <f t="shared" si="4"/>
        <v>792</v>
      </c>
      <c r="BK8" s="36">
        <v>8</v>
      </c>
      <c r="BL8" s="36">
        <v>0</v>
      </c>
      <c r="BM8" s="36">
        <f t="shared" si="5"/>
        <v>3360</v>
      </c>
      <c r="BN8" s="33">
        <f t="shared" si="6"/>
        <v>792</v>
      </c>
      <c r="BO8" s="43"/>
      <c r="BP8" s="47"/>
      <c r="BQ8" s="30" t="s">
        <v>337</v>
      </c>
      <c r="BR8" s="52">
        <v>0.52083333333333337</v>
      </c>
      <c r="BS8" s="36" t="s">
        <v>338</v>
      </c>
      <c r="BT8" s="36">
        <v>1459914</v>
      </c>
      <c r="BU8" s="36">
        <v>53</v>
      </c>
      <c r="BV8" s="2" t="s">
        <v>339</v>
      </c>
      <c r="BX8" s="36">
        <v>0</v>
      </c>
      <c r="BY8" s="36">
        <v>0</v>
      </c>
      <c r="BZ8" s="36">
        <v>0</v>
      </c>
      <c r="CA8" s="36">
        <v>0</v>
      </c>
      <c r="CB8" s="36">
        <v>0</v>
      </c>
      <c r="CC8" s="36">
        <v>0</v>
      </c>
      <c r="CD8" s="36">
        <v>0</v>
      </c>
      <c r="CE8" s="36">
        <v>0</v>
      </c>
      <c r="CF8" s="36">
        <v>0</v>
      </c>
      <c r="CG8" s="36">
        <v>0</v>
      </c>
      <c r="CH8" s="36">
        <v>0</v>
      </c>
      <c r="CI8" s="31">
        <f t="shared" si="7"/>
        <v>0</v>
      </c>
      <c r="CJ8" s="68">
        <v>2</v>
      </c>
      <c r="CK8" s="68">
        <v>0</v>
      </c>
      <c r="CL8" s="68">
        <v>0</v>
      </c>
      <c r="CM8" s="68">
        <v>0</v>
      </c>
      <c r="CN8" s="68">
        <v>0</v>
      </c>
      <c r="CO8" s="68">
        <v>0</v>
      </c>
      <c r="CP8" s="68">
        <v>2</v>
      </c>
      <c r="CQ8" s="68">
        <v>0</v>
      </c>
      <c r="CR8" s="68">
        <v>0</v>
      </c>
      <c r="CS8" s="68">
        <v>0</v>
      </c>
      <c r="CT8" s="68">
        <v>1</v>
      </c>
      <c r="CU8" s="68">
        <v>0</v>
      </c>
      <c r="CV8" s="68">
        <v>1</v>
      </c>
      <c r="CW8" s="68">
        <v>0</v>
      </c>
      <c r="CX8" s="68">
        <v>0</v>
      </c>
      <c r="CY8" s="68">
        <v>0</v>
      </c>
      <c r="CZ8" s="68">
        <v>0</v>
      </c>
      <c r="DA8" s="32">
        <f t="shared" si="8"/>
        <v>6</v>
      </c>
      <c r="DB8" s="36">
        <v>0</v>
      </c>
      <c r="DC8" s="36">
        <v>0</v>
      </c>
      <c r="DD8" s="36">
        <v>0</v>
      </c>
      <c r="DE8" s="36">
        <f t="shared" si="9"/>
        <v>0</v>
      </c>
      <c r="DF8" s="36">
        <v>0</v>
      </c>
      <c r="DG8" s="36">
        <v>0</v>
      </c>
      <c r="DH8" s="36">
        <v>0</v>
      </c>
      <c r="DI8" s="36">
        <f t="shared" si="10"/>
        <v>0</v>
      </c>
      <c r="DJ8" s="36">
        <v>0</v>
      </c>
      <c r="DK8" s="36">
        <v>1</v>
      </c>
      <c r="DL8" s="36">
        <v>0</v>
      </c>
      <c r="DM8" s="36">
        <f t="shared" si="11"/>
        <v>0</v>
      </c>
      <c r="DN8" s="36">
        <v>6</v>
      </c>
      <c r="DO8" s="36">
        <v>0</v>
      </c>
      <c r="DP8" s="36">
        <f t="shared" si="12"/>
        <v>2520</v>
      </c>
      <c r="DQ8" s="33">
        <f t="shared" si="13"/>
        <v>0</v>
      </c>
      <c r="DR8" s="43"/>
      <c r="DS8" s="47"/>
      <c r="DT8" s="45"/>
      <c r="EL8" s="31">
        <f t="shared" si="14"/>
        <v>0</v>
      </c>
      <c r="FD8" s="32">
        <f t="shared" si="30"/>
        <v>0</v>
      </c>
      <c r="FH8" s="36">
        <f t="shared" si="16"/>
        <v>0</v>
      </c>
      <c r="FL8" s="36">
        <f t="shared" si="17"/>
        <v>0</v>
      </c>
      <c r="FM8" s="36"/>
      <c r="FN8" s="36"/>
      <c r="FO8" s="36"/>
      <c r="FP8" s="36">
        <f t="shared" si="18"/>
        <v>0</v>
      </c>
      <c r="FQ8" s="36"/>
      <c r="FR8" s="36"/>
      <c r="FS8" s="36">
        <f t="shared" si="19"/>
        <v>0</v>
      </c>
      <c r="FT8" s="33">
        <f t="shared" si="20"/>
        <v>0</v>
      </c>
      <c r="FU8" s="43"/>
      <c r="FV8" s="47"/>
      <c r="FW8" s="45"/>
      <c r="GO8" s="50"/>
      <c r="HG8" s="51"/>
      <c r="HK8" s="36">
        <f t="shared" si="27"/>
        <v>0</v>
      </c>
      <c r="HO8" s="36">
        <f t="shared" si="23"/>
        <v>0</v>
      </c>
      <c r="HS8" s="36">
        <f t="shared" si="24"/>
        <v>0</v>
      </c>
      <c r="HV8" s="36">
        <f t="shared" si="25"/>
        <v>0</v>
      </c>
      <c r="HW8" s="33">
        <f t="shared" si="26"/>
        <v>0</v>
      </c>
      <c r="HX8" s="43"/>
      <c r="HY8" s="35"/>
    </row>
    <row r="9" spans="1:235" ht="97.5" customHeight="1">
      <c r="A9" s="6" t="s">
        <v>320</v>
      </c>
      <c r="B9" s="30" t="s">
        <v>340</v>
      </c>
      <c r="C9" s="4" t="s">
        <v>341</v>
      </c>
      <c r="D9" s="37">
        <v>5306112</v>
      </c>
      <c r="E9" s="6" t="s">
        <v>342</v>
      </c>
      <c r="F9" s="6">
        <v>36</v>
      </c>
      <c r="G9" s="6" t="s">
        <v>235</v>
      </c>
      <c r="H9" s="6" t="s">
        <v>343</v>
      </c>
      <c r="I9" s="4" t="s">
        <v>344</v>
      </c>
      <c r="J9" s="6" t="s">
        <v>239</v>
      </c>
      <c r="K9" s="4" t="s">
        <v>345</v>
      </c>
      <c r="L9" s="65" t="s">
        <v>325</v>
      </c>
      <c r="M9" s="139" t="s">
        <v>346</v>
      </c>
      <c r="N9" s="7" t="s">
        <v>347</v>
      </c>
      <c r="O9" s="27">
        <v>0.5625</v>
      </c>
      <c r="P9" s="6" t="s">
        <v>247</v>
      </c>
      <c r="Q9" s="36">
        <v>1446063</v>
      </c>
      <c r="R9" s="6">
        <v>37</v>
      </c>
      <c r="S9" s="4" t="s">
        <v>348</v>
      </c>
      <c r="T9" s="4"/>
      <c r="U9" s="6">
        <v>0</v>
      </c>
      <c r="V9" s="6">
        <v>0</v>
      </c>
      <c r="W9" s="6">
        <v>0</v>
      </c>
      <c r="X9" s="6">
        <v>0</v>
      </c>
      <c r="Y9" s="6">
        <v>0</v>
      </c>
      <c r="Z9" s="6">
        <v>0</v>
      </c>
      <c r="AA9" s="6">
        <v>0</v>
      </c>
      <c r="AB9" s="6">
        <v>0</v>
      </c>
      <c r="AC9" s="6">
        <v>0</v>
      </c>
      <c r="AD9" s="6">
        <v>2</v>
      </c>
      <c r="AE9" s="6">
        <v>0</v>
      </c>
      <c r="AF9" s="39">
        <f t="shared" si="0"/>
        <v>2</v>
      </c>
      <c r="AG9" s="6">
        <v>2</v>
      </c>
      <c r="AH9" s="6">
        <v>1</v>
      </c>
      <c r="AI9" s="6">
        <v>3</v>
      </c>
      <c r="AJ9" s="6">
        <v>0</v>
      </c>
      <c r="AK9" s="6">
        <v>0</v>
      </c>
      <c r="AL9" s="6">
        <v>0</v>
      </c>
      <c r="AM9" s="6">
        <v>4</v>
      </c>
      <c r="AN9" s="6">
        <v>1</v>
      </c>
      <c r="AO9" s="6">
        <v>0</v>
      </c>
      <c r="AP9" s="6">
        <v>3</v>
      </c>
      <c r="AQ9" s="6">
        <v>0</v>
      </c>
      <c r="AR9" s="6">
        <v>0</v>
      </c>
      <c r="AS9" s="6">
        <v>0</v>
      </c>
      <c r="AT9" s="6">
        <v>3</v>
      </c>
      <c r="AU9" s="6">
        <v>0</v>
      </c>
      <c r="AV9" s="6">
        <v>0</v>
      </c>
      <c r="AW9" s="6">
        <v>0</v>
      </c>
      <c r="AX9" s="40">
        <f t="shared" si="1"/>
        <v>17</v>
      </c>
      <c r="AY9" s="6">
        <v>0</v>
      </c>
      <c r="AZ9" s="6">
        <v>0</v>
      </c>
      <c r="BA9" s="6">
        <v>0</v>
      </c>
      <c r="BB9" s="36">
        <f t="shared" si="29"/>
        <v>0</v>
      </c>
      <c r="BC9" s="6">
        <v>0</v>
      </c>
      <c r="BD9" s="6">
        <v>0</v>
      </c>
      <c r="BE9" s="6">
        <v>0</v>
      </c>
      <c r="BF9" s="36">
        <f t="shared" si="3"/>
        <v>0</v>
      </c>
      <c r="BG9" s="6">
        <v>0</v>
      </c>
      <c r="BH9" s="6">
        <v>0</v>
      </c>
      <c r="BI9" s="6">
        <v>0</v>
      </c>
      <c r="BJ9" s="36">
        <f t="shared" si="4"/>
        <v>0</v>
      </c>
      <c r="BK9" s="6">
        <v>10</v>
      </c>
      <c r="BL9" s="6">
        <v>0</v>
      </c>
      <c r="BM9" s="36">
        <f t="shared" si="5"/>
        <v>4200</v>
      </c>
      <c r="BN9" s="33">
        <f t="shared" si="6"/>
        <v>0</v>
      </c>
      <c r="BP9" s="18" t="s">
        <v>349</v>
      </c>
      <c r="BQ9" s="30" t="s">
        <v>350</v>
      </c>
      <c r="BR9" s="52">
        <v>0.54166666666666663</v>
      </c>
      <c r="BS9" s="36" t="s">
        <v>351</v>
      </c>
      <c r="BT9" s="36">
        <v>1461770</v>
      </c>
      <c r="BU9" s="36">
        <v>32</v>
      </c>
      <c r="BV9" s="54" t="s">
        <v>352</v>
      </c>
      <c r="BX9" s="6">
        <v>0</v>
      </c>
      <c r="BY9" s="6">
        <v>0</v>
      </c>
      <c r="BZ9" s="6">
        <v>0</v>
      </c>
      <c r="CA9" s="6">
        <v>2</v>
      </c>
      <c r="CB9" s="6">
        <v>0</v>
      </c>
      <c r="CC9" s="6">
        <v>0</v>
      </c>
      <c r="CD9" s="6">
        <v>0</v>
      </c>
      <c r="CE9" s="6">
        <v>0</v>
      </c>
      <c r="CF9" s="6">
        <v>0</v>
      </c>
      <c r="CG9" s="6">
        <v>2</v>
      </c>
      <c r="CH9" s="6">
        <v>0</v>
      </c>
      <c r="CI9" s="31">
        <f t="shared" si="7"/>
        <v>4</v>
      </c>
      <c r="CJ9" s="6">
        <v>2</v>
      </c>
      <c r="CK9" s="6">
        <v>1</v>
      </c>
      <c r="CL9" s="6">
        <v>0</v>
      </c>
      <c r="CM9" s="6">
        <v>2</v>
      </c>
      <c r="CN9" s="6">
        <v>1</v>
      </c>
      <c r="CO9" s="6">
        <v>0</v>
      </c>
      <c r="CP9" s="6">
        <v>4</v>
      </c>
      <c r="CQ9" s="6">
        <v>0</v>
      </c>
      <c r="CR9" s="6">
        <v>0</v>
      </c>
      <c r="CS9" s="6">
        <v>2</v>
      </c>
      <c r="CT9" s="6">
        <v>0</v>
      </c>
      <c r="CU9" s="6">
        <v>0</v>
      </c>
      <c r="CV9" s="6">
        <v>0</v>
      </c>
      <c r="CW9" s="6">
        <v>0</v>
      </c>
      <c r="CX9" s="6">
        <v>0</v>
      </c>
      <c r="CY9" s="6">
        <v>0</v>
      </c>
      <c r="CZ9" s="6">
        <v>0</v>
      </c>
      <c r="DA9" s="32">
        <f t="shared" si="8"/>
        <v>12</v>
      </c>
      <c r="DB9" s="6">
        <v>0</v>
      </c>
      <c r="DC9" s="6">
        <v>0</v>
      </c>
      <c r="DD9" s="6">
        <v>0</v>
      </c>
      <c r="DE9" s="36">
        <f t="shared" si="9"/>
        <v>0</v>
      </c>
      <c r="DF9" s="6">
        <v>0</v>
      </c>
      <c r="DG9" s="6">
        <v>0</v>
      </c>
      <c r="DH9" s="6">
        <v>0</v>
      </c>
      <c r="DI9" s="36">
        <f t="shared" si="10"/>
        <v>0</v>
      </c>
      <c r="DJ9" s="6">
        <v>0</v>
      </c>
      <c r="DK9" s="6">
        <v>0</v>
      </c>
      <c r="DL9" s="6">
        <v>0</v>
      </c>
      <c r="DM9" s="36">
        <f t="shared" si="11"/>
        <v>0</v>
      </c>
      <c r="DN9" s="6">
        <v>10</v>
      </c>
      <c r="DO9" s="6">
        <v>0</v>
      </c>
      <c r="DP9" s="36">
        <f t="shared" si="12"/>
        <v>4200</v>
      </c>
      <c r="DQ9" s="33">
        <f t="shared" si="13"/>
        <v>0</v>
      </c>
      <c r="DS9" s="18" t="s">
        <v>353</v>
      </c>
      <c r="DT9" s="7" t="s">
        <v>354</v>
      </c>
      <c r="DU9" s="27">
        <v>0.68194444444444446</v>
      </c>
      <c r="DV9" s="66" t="s">
        <v>335</v>
      </c>
      <c r="DW9" s="66">
        <v>1498631</v>
      </c>
      <c r="DX9" s="6">
        <v>44</v>
      </c>
      <c r="DY9" s="54" t="s">
        <v>352</v>
      </c>
      <c r="EA9" s="6">
        <v>0</v>
      </c>
      <c r="EB9" s="6">
        <v>0</v>
      </c>
      <c r="EC9" s="6">
        <v>0</v>
      </c>
      <c r="ED9" s="6">
        <v>0</v>
      </c>
      <c r="EE9" s="6">
        <v>0</v>
      </c>
      <c r="EF9" s="6">
        <v>0</v>
      </c>
      <c r="EG9" s="6">
        <v>0</v>
      </c>
      <c r="EH9" s="6">
        <v>0</v>
      </c>
      <c r="EI9" s="6">
        <v>0</v>
      </c>
      <c r="EJ9" s="6">
        <v>2</v>
      </c>
      <c r="EK9" s="6">
        <v>0</v>
      </c>
      <c r="EL9" s="31">
        <f t="shared" si="14"/>
        <v>2</v>
      </c>
      <c r="EM9" s="68">
        <v>1</v>
      </c>
      <c r="EN9" s="68">
        <v>0</v>
      </c>
      <c r="EO9" s="68">
        <v>0</v>
      </c>
      <c r="EP9" s="68">
        <v>1</v>
      </c>
      <c r="EQ9" s="68">
        <v>0</v>
      </c>
      <c r="ER9" s="68">
        <v>0</v>
      </c>
      <c r="ES9" s="68">
        <v>1</v>
      </c>
      <c r="ET9" s="68">
        <v>0</v>
      </c>
      <c r="EU9" s="68">
        <v>0</v>
      </c>
      <c r="EV9" s="68">
        <v>0</v>
      </c>
      <c r="EW9" s="68">
        <v>0</v>
      </c>
      <c r="EX9" s="68">
        <v>0</v>
      </c>
      <c r="EY9" s="68">
        <v>0</v>
      </c>
      <c r="EZ9" s="68">
        <v>0</v>
      </c>
      <c r="FA9" s="68">
        <v>0</v>
      </c>
      <c r="FB9" s="68">
        <v>0</v>
      </c>
      <c r="FC9" s="68">
        <v>0</v>
      </c>
      <c r="FD9" s="32">
        <f t="shared" si="30"/>
        <v>3</v>
      </c>
      <c r="FE9" s="6">
        <v>0</v>
      </c>
      <c r="FF9" s="6">
        <v>0</v>
      </c>
      <c r="FG9" s="6">
        <v>0</v>
      </c>
      <c r="FH9" s="36">
        <f t="shared" si="16"/>
        <v>0</v>
      </c>
      <c r="FI9" s="6">
        <v>1</v>
      </c>
      <c r="FJ9" s="6">
        <v>0</v>
      </c>
      <c r="FK9" s="6">
        <v>40</v>
      </c>
      <c r="FL9" s="36">
        <f t="shared" si="17"/>
        <v>160</v>
      </c>
      <c r="FM9" s="6">
        <v>7</v>
      </c>
      <c r="FN9" s="6">
        <v>0</v>
      </c>
      <c r="FO9" s="6">
        <v>15</v>
      </c>
      <c r="FP9" s="36">
        <f t="shared" si="18"/>
        <v>346.5</v>
      </c>
      <c r="FQ9" s="6">
        <v>6</v>
      </c>
      <c r="FR9" s="6">
        <v>0</v>
      </c>
      <c r="FS9" s="36">
        <f t="shared" si="19"/>
        <v>2520</v>
      </c>
      <c r="FT9" s="33">
        <f t="shared" si="20"/>
        <v>506.5</v>
      </c>
    </row>
    <row r="10" spans="1:235" s="6" customFormat="1" ht="65.25" customHeight="1">
      <c r="A10" s="6" t="s">
        <v>320</v>
      </c>
      <c r="B10" s="7" t="s">
        <v>340</v>
      </c>
      <c r="C10" s="6" t="s">
        <v>355</v>
      </c>
      <c r="D10" s="37">
        <v>5480988</v>
      </c>
      <c r="E10" s="6" t="s">
        <v>356</v>
      </c>
      <c r="F10" s="6">
        <v>19</v>
      </c>
      <c r="G10" s="6" t="s">
        <v>300</v>
      </c>
      <c r="H10" s="6" t="s">
        <v>343</v>
      </c>
      <c r="I10" s="4" t="s">
        <v>357</v>
      </c>
      <c r="J10" s="6" t="s">
        <v>237</v>
      </c>
      <c r="K10" s="6" t="s">
        <v>239</v>
      </c>
      <c r="L10" s="65" t="s">
        <v>358</v>
      </c>
      <c r="M10" s="139" t="s">
        <v>359</v>
      </c>
      <c r="N10" s="7" t="s">
        <v>360</v>
      </c>
      <c r="O10" s="27">
        <v>0.4861111111111111</v>
      </c>
      <c r="P10" s="6" t="s">
        <v>257</v>
      </c>
      <c r="Q10" s="36">
        <v>1466883</v>
      </c>
      <c r="R10" s="6">
        <v>49</v>
      </c>
      <c r="S10" s="4" t="s">
        <v>361</v>
      </c>
      <c r="T10" s="4"/>
      <c r="U10" s="6">
        <v>0</v>
      </c>
      <c r="V10" s="6">
        <v>0</v>
      </c>
      <c r="W10" s="6">
        <v>0</v>
      </c>
      <c r="X10" s="6">
        <v>0</v>
      </c>
      <c r="Y10" s="6">
        <v>2</v>
      </c>
      <c r="Z10" s="6">
        <v>0</v>
      </c>
      <c r="AA10" s="6">
        <v>0</v>
      </c>
      <c r="AB10" s="6">
        <v>0</v>
      </c>
      <c r="AC10" s="6">
        <v>0</v>
      </c>
      <c r="AD10" s="6">
        <v>0</v>
      </c>
      <c r="AE10" s="6">
        <v>0</v>
      </c>
      <c r="AF10" s="39">
        <f t="shared" si="0"/>
        <v>2</v>
      </c>
      <c r="AG10" s="68">
        <v>4</v>
      </c>
      <c r="AH10" s="68">
        <v>2</v>
      </c>
      <c r="AI10" s="68">
        <v>3</v>
      </c>
      <c r="AJ10" s="68">
        <v>1</v>
      </c>
      <c r="AK10" s="68">
        <v>0</v>
      </c>
      <c r="AL10" s="68">
        <v>0</v>
      </c>
      <c r="AM10" s="68">
        <v>4</v>
      </c>
      <c r="AN10" s="68">
        <v>2</v>
      </c>
      <c r="AO10" s="68">
        <v>0</v>
      </c>
      <c r="AP10" s="68">
        <v>3</v>
      </c>
      <c r="AQ10" s="68">
        <v>2</v>
      </c>
      <c r="AR10" s="68">
        <v>0</v>
      </c>
      <c r="AS10" s="68">
        <v>1</v>
      </c>
      <c r="AT10" s="68">
        <v>2</v>
      </c>
      <c r="AU10" s="68">
        <v>0</v>
      </c>
      <c r="AV10" s="68">
        <v>0</v>
      </c>
      <c r="AW10" s="68">
        <v>0</v>
      </c>
      <c r="AX10" s="40">
        <f t="shared" si="1"/>
        <v>24</v>
      </c>
      <c r="AY10" s="6">
        <v>0</v>
      </c>
      <c r="AZ10" s="6">
        <v>0</v>
      </c>
      <c r="BA10" s="6">
        <v>0</v>
      </c>
      <c r="BB10" s="36">
        <f t="shared" si="29"/>
        <v>0</v>
      </c>
      <c r="BC10" s="6">
        <v>0</v>
      </c>
      <c r="BD10" s="6">
        <v>0</v>
      </c>
      <c r="BE10" s="6">
        <v>0</v>
      </c>
      <c r="BF10" s="36">
        <f t="shared" si="3"/>
        <v>0</v>
      </c>
      <c r="BG10" s="6">
        <v>6</v>
      </c>
      <c r="BH10" s="6">
        <v>0</v>
      </c>
      <c r="BI10" s="6">
        <v>30</v>
      </c>
      <c r="BJ10" s="36">
        <f t="shared" si="4"/>
        <v>594</v>
      </c>
      <c r="BK10" s="6">
        <v>6</v>
      </c>
      <c r="BL10" s="6">
        <v>0</v>
      </c>
      <c r="BM10" s="36">
        <f t="shared" si="5"/>
        <v>2520</v>
      </c>
      <c r="BN10" s="33">
        <f t="shared" si="6"/>
        <v>594</v>
      </c>
      <c r="BO10" s="14"/>
      <c r="BP10" s="18" t="s">
        <v>362</v>
      </c>
      <c r="BQ10" s="7" t="s">
        <v>363</v>
      </c>
      <c r="BR10" s="27">
        <v>0.625</v>
      </c>
      <c r="BS10" s="6" t="s">
        <v>328</v>
      </c>
      <c r="BT10" s="36">
        <v>1476749</v>
      </c>
      <c r="BU10" s="6">
        <v>53</v>
      </c>
      <c r="BV10" s="4" t="s">
        <v>364</v>
      </c>
      <c r="BX10" s="6">
        <v>0</v>
      </c>
      <c r="BY10" s="6">
        <v>0</v>
      </c>
      <c r="BZ10" s="6">
        <v>0</v>
      </c>
      <c r="CA10" s="6">
        <v>0</v>
      </c>
      <c r="CB10" s="6">
        <v>0</v>
      </c>
      <c r="CC10" s="6">
        <v>0</v>
      </c>
      <c r="CD10" s="6">
        <v>0</v>
      </c>
      <c r="CE10" s="6">
        <v>0</v>
      </c>
      <c r="CF10" s="6">
        <v>0</v>
      </c>
      <c r="CG10" s="6">
        <v>0</v>
      </c>
      <c r="CH10" s="6">
        <v>0</v>
      </c>
      <c r="CI10" s="31">
        <f t="shared" si="7"/>
        <v>0</v>
      </c>
      <c r="CJ10" s="6">
        <v>2</v>
      </c>
      <c r="CK10" s="6">
        <v>1</v>
      </c>
      <c r="CL10" s="6">
        <v>1</v>
      </c>
      <c r="CM10" s="6">
        <v>1</v>
      </c>
      <c r="CN10" s="6">
        <v>1</v>
      </c>
      <c r="CO10" s="6">
        <v>0</v>
      </c>
      <c r="CP10" s="6">
        <v>2</v>
      </c>
      <c r="CQ10" s="6">
        <v>2</v>
      </c>
      <c r="CR10" s="6">
        <v>0</v>
      </c>
      <c r="CS10" s="6">
        <v>2</v>
      </c>
      <c r="CT10" s="6">
        <v>1</v>
      </c>
      <c r="CU10" s="6">
        <v>1</v>
      </c>
      <c r="CV10" s="6">
        <v>1</v>
      </c>
      <c r="CW10" s="6">
        <v>2</v>
      </c>
      <c r="CX10" s="6">
        <v>0</v>
      </c>
      <c r="CY10" s="6">
        <v>0</v>
      </c>
      <c r="CZ10" s="6">
        <v>0</v>
      </c>
      <c r="DA10" s="32">
        <f t="shared" si="8"/>
        <v>17</v>
      </c>
      <c r="DB10" s="6">
        <v>0</v>
      </c>
      <c r="DC10" s="6">
        <v>0</v>
      </c>
      <c r="DD10" s="6">
        <v>0</v>
      </c>
      <c r="DE10" s="36">
        <f t="shared" si="9"/>
        <v>0</v>
      </c>
      <c r="DF10" s="6">
        <v>3</v>
      </c>
      <c r="DG10" s="6">
        <v>0</v>
      </c>
      <c r="DH10" s="6">
        <v>25</v>
      </c>
      <c r="DI10" s="36">
        <f t="shared" si="10"/>
        <v>300</v>
      </c>
      <c r="DJ10" s="6">
        <v>0</v>
      </c>
      <c r="DK10" s="6">
        <v>0</v>
      </c>
      <c r="DL10" s="6">
        <v>0</v>
      </c>
      <c r="DM10" s="36">
        <f t="shared" si="11"/>
        <v>0</v>
      </c>
      <c r="DN10" s="6">
        <v>10</v>
      </c>
      <c r="DO10" s="6">
        <v>0</v>
      </c>
      <c r="DP10" s="36">
        <f t="shared" si="12"/>
        <v>4200</v>
      </c>
      <c r="DQ10" s="33">
        <f t="shared" si="13"/>
        <v>300</v>
      </c>
      <c r="DR10" s="14"/>
      <c r="DS10" s="17"/>
      <c r="DT10" s="7" t="s">
        <v>365</v>
      </c>
      <c r="DU10" s="27">
        <v>0.53749999999999998</v>
      </c>
      <c r="DV10" s="66" t="s">
        <v>351</v>
      </c>
      <c r="DW10" s="66">
        <v>1503470</v>
      </c>
      <c r="DX10" s="6">
        <v>51</v>
      </c>
      <c r="DY10" s="54" t="s">
        <v>366</v>
      </c>
      <c r="EA10" s="6">
        <v>0</v>
      </c>
      <c r="EB10" s="6">
        <v>0</v>
      </c>
      <c r="EC10" s="6">
        <v>0</v>
      </c>
      <c r="ED10" s="6">
        <v>0</v>
      </c>
      <c r="EE10" s="6">
        <v>0</v>
      </c>
      <c r="EF10" s="6">
        <v>0</v>
      </c>
      <c r="EG10" s="6">
        <v>0</v>
      </c>
      <c r="EH10" s="6">
        <v>0</v>
      </c>
      <c r="EI10" s="6">
        <v>0</v>
      </c>
      <c r="EJ10" s="6">
        <v>0</v>
      </c>
      <c r="EK10" s="6">
        <v>2</v>
      </c>
      <c r="EL10" s="31">
        <f t="shared" si="14"/>
        <v>2</v>
      </c>
      <c r="EM10" s="6">
        <v>1</v>
      </c>
      <c r="EN10" s="6">
        <v>1</v>
      </c>
      <c r="EO10" s="6">
        <v>0</v>
      </c>
      <c r="EP10" s="6">
        <v>0</v>
      </c>
      <c r="EQ10" s="6">
        <v>0</v>
      </c>
      <c r="ER10" s="6">
        <v>0</v>
      </c>
      <c r="ES10" s="6">
        <v>2</v>
      </c>
      <c r="ET10" s="6">
        <v>0</v>
      </c>
      <c r="EU10" s="6">
        <v>0</v>
      </c>
      <c r="EV10" s="6">
        <v>2</v>
      </c>
      <c r="EW10" s="6">
        <v>1</v>
      </c>
      <c r="EX10" s="6">
        <v>0</v>
      </c>
      <c r="EY10" s="6">
        <v>0</v>
      </c>
      <c r="EZ10" s="6">
        <v>1</v>
      </c>
      <c r="FA10" s="6">
        <v>0</v>
      </c>
      <c r="FB10" s="6">
        <v>0</v>
      </c>
      <c r="FC10" s="6">
        <v>1</v>
      </c>
      <c r="FD10" s="32">
        <f t="shared" si="30"/>
        <v>9</v>
      </c>
      <c r="FE10" s="6">
        <v>0</v>
      </c>
      <c r="FF10" s="6">
        <v>0</v>
      </c>
      <c r="FG10" s="6">
        <v>0</v>
      </c>
      <c r="FH10" s="36">
        <f t="shared" si="16"/>
        <v>0</v>
      </c>
      <c r="FI10" s="6">
        <v>2</v>
      </c>
      <c r="FJ10" s="6">
        <v>1</v>
      </c>
      <c r="FK10" s="6">
        <v>40</v>
      </c>
      <c r="FL10" s="36">
        <f t="shared" si="17"/>
        <v>800</v>
      </c>
      <c r="FM10" s="6">
        <v>5</v>
      </c>
      <c r="FN10" s="6">
        <v>0</v>
      </c>
      <c r="FO10" s="6">
        <v>15</v>
      </c>
      <c r="FP10" s="36">
        <f t="shared" si="18"/>
        <v>247.5</v>
      </c>
      <c r="FQ10" s="6">
        <v>7</v>
      </c>
      <c r="FR10" s="6">
        <v>0</v>
      </c>
      <c r="FS10" s="36">
        <f t="shared" si="19"/>
        <v>2940</v>
      </c>
      <c r="FT10" s="33">
        <f t="shared" si="20"/>
        <v>1047.5</v>
      </c>
      <c r="FU10" s="14"/>
      <c r="FV10" s="17"/>
      <c r="FW10" s="7"/>
      <c r="GO10" s="11"/>
      <c r="HG10" s="8"/>
      <c r="HW10" s="14"/>
      <c r="HX10" s="14"/>
      <c r="HY10" s="18"/>
    </row>
    <row r="11" spans="1:235" s="6" customFormat="1" ht="55.5" customHeight="1">
      <c r="A11" s="6" t="s">
        <v>231</v>
      </c>
      <c r="B11" s="7" t="s">
        <v>310</v>
      </c>
      <c r="C11" s="6" t="s">
        <v>367</v>
      </c>
      <c r="D11" s="37">
        <v>5256128</v>
      </c>
      <c r="E11" s="6" t="s">
        <v>368</v>
      </c>
      <c r="F11" s="6">
        <v>32</v>
      </c>
      <c r="G11" s="6" t="s">
        <v>300</v>
      </c>
      <c r="H11" s="6" t="s">
        <v>343</v>
      </c>
      <c r="I11" s="6" t="s">
        <v>237</v>
      </c>
      <c r="J11" s="6" t="s">
        <v>237</v>
      </c>
      <c r="K11" s="4" t="s">
        <v>369</v>
      </c>
      <c r="L11" s="65" t="s">
        <v>325</v>
      </c>
      <c r="M11" s="139" t="s">
        <v>370</v>
      </c>
      <c r="N11" s="7" t="s">
        <v>371</v>
      </c>
      <c r="O11" s="27">
        <v>0.4916666666666667</v>
      </c>
      <c r="P11" s="6" t="s">
        <v>351</v>
      </c>
      <c r="Q11" s="36">
        <v>1476669</v>
      </c>
      <c r="R11" s="6">
        <v>54</v>
      </c>
      <c r="S11" s="4" t="s">
        <v>372</v>
      </c>
      <c r="U11" s="6">
        <v>0</v>
      </c>
      <c r="V11" s="6">
        <v>0</v>
      </c>
      <c r="W11" s="6">
        <v>0</v>
      </c>
      <c r="X11" s="6">
        <v>0</v>
      </c>
      <c r="Y11" s="6">
        <v>0</v>
      </c>
      <c r="Z11" s="6">
        <v>0</v>
      </c>
      <c r="AA11" s="6">
        <v>0</v>
      </c>
      <c r="AB11" s="6">
        <v>0</v>
      </c>
      <c r="AC11" s="6">
        <v>0</v>
      </c>
      <c r="AD11" s="6">
        <v>0</v>
      </c>
      <c r="AE11" s="6">
        <v>0</v>
      </c>
      <c r="AF11" s="39">
        <f t="shared" si="0"/>
        <v>0</v>
      </c>
      <c r="AG11" s="135">
        <v>2</v>
      </c>
      <c r="AH11" s="135">
        <v>2</v>
      </c>
      <c r="AI11" s="135">
        <v>0</v>
      </c>
      <c r="AJ11" s="135">
        <v>0</v>
      </c>
      <c r="AK11" s="135">
        <v>0</v>
      </c>
      <c r="AL11" s="135">
        <v>0</v>
      </c>
      <c r="AM11" s="135">
        <v>3</v>
      </c>
      <c r="AN11" s="135">
        <v>1</v>
      </c>
      <c r="AO11" s="135">
        <v>0</v>
      </c>
      <c r="AP11" s="135">
        <v>3</v>
      </c>
      <c r="AQ11" s="135">
        <v>2</v>
      </c>
      <c r="AR11" s="135">
        <v>0</v>
      </c>
      <c r="AS11" s="135">
        <v>1</v>
      </c>
      <c r="AT11" s="135">
        <v>1</v>
      </c>
      <c r="AU11" s="135">
        <v>0</v>
      </c>
      <c r="AV11" s="135">
        <v>0</v>
      </c>
      <c r="AW11" s="135">
        <v>0</v>
      </c>
      <c r="AX11" s="40">
        <f t="shared" si="1"/>
        <v>15</v>
      </c>
      <c r="AY11" s="6">
        <v>0</v>
      </c>
      <c r="AZ11" s="6">
        <v>0</v>
      </c>
      <c r="BA11" s="6">
        <v>0</v>
      </c>
      <c r="BB11" s="36">
        <f t="shared" si="29"/>
        <v>0</v>
      </c>
      <c r="BC11" s="6">
        <v>0</v>
      </c>
      <c r="BD11" s="6">
        <v>0</v>
      </c>
      <c r="BE11" s="6">
        <v>0</v>
      </c>
      <c r="BF11" s="36">
        <f t="shared" si="3"/>
        <v>0</v>
      </c>
      <c r="BG11" s="6">
        <v>4</v>
      </c>
      <c r="BH11" s="6">
        <v>0</v>
      </c>
      <c r="BI11" s="6">
        <v>30</v>
      </c>
      <c r="BJ11" s="36">
        <f t="shared" si="4"/>
        <v>396</v>
      </c>
      <c r="BK11" s="6">
        <v>12</v>
      </c>
      <c r="BL11" s="6">
        <v>0</v>
      </c>
      <c r="BM11" s="36">
        <f t="shared" si="5"/>
        <v>5040</v>
      </c>
      <c r="BN11" s="33">
        <f t="shared" si="6"/>
        <v>396</v>
      </c>
      <c r="BO11" s="14" t="s">
        <v>239</v>
      </c>
      <c r="BP11" s="18" t="s">
        <v>373</v>
      </c>
      <c r="BQ11" s="7" t="s">
        <v>354</v>
      </c>
      <c r="BR11" s="27">
        <v>0.52152777777777781</v>
      </c>
      <c r="BS11" s="6" t="s">
        <v>257</v>
      </c>
      <c r="BT11" s="36">
        <v>1494214</v>
      </c>
      <c r="BU11" s="6">
        <v>52</v>
      </c>
      <c r="BV11" s="54" t="s">
        <v>372</v>
      </c>
      <c r="BX11" s="6">
        <v>0</v>
      </c>
      <c r="BY11" s="6">
        <v>0</v>
      </c>
      <c r="BZ11" s="6">
        <v>0</v>
      </c>
      <c r="CA11" s="6">
        <v>0</v>
      </c>
      <c r="CB11" s="6">
        <v>0</v>
      </c>
      <c r="CC11" s="6">
        <v>0</v>
      </c>
      <c r="CD11" s="6">
        <v>0</v>
      </c>
      <c r="CE11" s="6">
        <v>0</v>
      </c>
      <c r="CF11" s="6">
        <v>0</v>
      </c>
      <c r="CG11" s="6">
        <v>0</v>
      </c>
      <c r="CH11" s="6">
        <v>0</v>
      </c>
      <c r="CI11" s="31">
        <v>0</v>
      </c>
      <c r="CJ11" s="132">
        <v>0</v>
      </c>
      <c r="CK11" s="132">
        <v>1</v>
      </c>
      <c r="CL11" s="132">
        <v>0</v>
      </c>
      <c r="CM11" s="132">
        <v>2</v>
      </c>
      <c r="CN11" s="132">
        <v>0</v>
      </c>
      <c r="CO11" s="132">
        <v>0</v>
      </c>
      <c r="CP11" s="132">
        <v>0</v>
      </c>
      <c r="CQ11" s="132">
        <v>0</v>
      </c>
      <c r="CR11" s="132">
        <v>0</v>
      </c>
      <c r="CS11" s="132">
        <v>2</v>
      </c>
      <c r="CT11" s="132">
        <v>2</v>
      </c>
      <c r="CU11" s="132">
        <v>0</v>
      </c>
      <c r="CV11" s="132">
        <v>0</v>
      </c>
      <c r="CW11" s="132">
        <v>0</v>
      </c>
      <c r="CX11" s="132">
        <v>0</v>
      </c>
      <c r="CY11" s="132">
        <v>0</v>
      </c>
      <c r="CZ11" s="132">
        <v>0</v>
      </c>
      <c r="DA11" s="32">
        <f t="shared" si="8"/>
        <v>7</v>
      </c>
      <c r="DB11" s="6">
        <v>0</v>
      </c>
      <c r="DC11" s="6">
        <v>0</v>
      </c>
      <c r="DD11" s="6">
        <v>0</v>
      </c>
      <c r="DE11" s="36">
        <f t="shared" si="9"/>
        <v>0</v>
      </c>
      <c r="DF11" s="6">
        <v>0</v>
      </c>
      <c r="DG11" s="6">
        <v>0</v>
      </c>
      <c r="DH11" s="6">
        <v>0</v>
      </c>
      <c r="DI11" s="36">
        <f t="shared" si="10"/>
        <v>0</v>
      </c>
      <c r="DJ11" s="6">
        <v>7</v>
      </c>
      <c r="DK11" s="6">
        <v>1</v>
      </c>
      <c r="DL11" s="6">
        <v>0</v>
      </c>
      <c r="DM11" s="36">
        <f t="shared" si="11"/>
        <v>1386</v>
      </c>
      <c r="DN11" s="6">
        <v>2</v>
      </c>
      <c r="DO11" s="6">
        <v>0</v>
      </c>
      <c r="DP11" s="36">
        <f t="shared" si="12"/>
        <v>840</v>
      </c>
      <c r="DQ11" s="33">
        <f t="shared" si="13"/>
        <v>1386</v>
      </c>
      <c r="DR11" s="14" t="s">
        <v>239</v>
      </c>
      <c r="DS11" s="17" t="s">
        <v>374</v>
      </c>
      <c r="DT11" s="7"/>
      <c r="EL11" s="31">
        <f t="shared" si="14"/>
        <v>0</v>
      </c>
      <c r="FD11" s="32">
        <f t="shared" si="30"/>
        <v>0</v>
      </c>
      <c r="FH11" s="36">
        <f t="shared" si="16"/>
        <v>0</v>
      </c>
      <c r="FL11" s="36">
        <f t="shared" si="17"/>
        <v>0</v>
      </c>
      <c r="FP11" s="36">
        <f t="shared" si="18"/>
        <v>0</v>
      </c>
      <c r="FS11" s="36">
        <f t="shared" si="19"/>
        <v>0</v>
      </c>
      <c r="FT11" s="33">
        <f t="shared" si="20"/>
        <v>0</v>
      </c>
      <c r="FU11" s="14"/>
      <c r="FV11" s="17"/>
      <c r="FW11" s="7"/>
      <c r="GO11" s="11"/>
      <c r="HG11" s="8"/>
      <c r="HW11" s="14"/>
      <c r="HX11" s="14"/>
      <c r="HY11" s="18"/>
    </row>
    <row r="12" spans="1:235" s="6" customFormat="1" ht="54" customHeight="1">
      <c r="A12" s="6" t="s">
        <v>231</v>
      </c>
      <c r="B12" s="7" t="s">
        <v>375</v>
      </c>
      <c r="C12" s="4" t="s">
        <v>376</v>
      </c>
      <c r="D12" s="65">
        <v>5219157</v>
      </c>
      <c r="E12" s="6" t="s">
        <v>377</v>
      </c>
      <c r="F12" s="6">
        <v>39</v>
      </c>
      <c r="G12" s="6" t="s">
        <v>300</v>
      </c>
      <c r="H12" s="4" t="s">
        <v>378</v>
      </c>
      <c r="I12" s="6" t="s">
        <v>237</v>
      </c>
      <c r="J12" s="6" t="s">
        <v>237</v>
      </c>
      <c r="K12" s="4" t="s">
        <v>379</v>
      </c>
      <c r="L12" s="20" t="s">
        <v>380</v>
      </c>
      <c r="M12" s="6" t="s">
        <v>239</v>
      </c>
      <c r="N12" s="7" t="s">
        <v>381</v>
      </c>
      <c r="O12" s="27">
        <v>0.53263888888888888</v>
      </c>
      <c r="P12" s="6" t="s">
        <v>328</v>
      </c>
      <c r="Q12" s="36">
        <v>1494288</v>
      </c>
      <c r="R12" s="6">
        <v>47</v>
      </c>
      <c r="S12" s="4" t="s">
        <v>382</v>
      </c>
      <c r="U12" s="6">
        <v>0</v>
      </c>
      <c r="V12" s="6">
        <v>0</v>
      </c>
      <c r="W12" s="6">
        <v>0</v>
      </c>
      <c r="X12" s="6">
        <v>0</v>
      </c>
      <c r="Y12" s="6">
        <v>0</v>
      </c>
      <c r="Z12" s="6">
        <v>2</v>
      </c>
      <c r="AA12" s="6">
        <v>1</v>
      </c>
      <c r="AB12" s="6">
        <v>0</v>
      </c>
      <c r="AC12" s="6">
        <v>0</v>
      </c>
      <c r="AD12" s="6">
        <v>0</v>
      </c>
      <c r="AE12" s="6">
        <v>0</v>
      </c>
      <c r="AF12" s="39">
        <f t="shared" si="0"/>
        <v>3</v>
      </c>
      <c r="AG12" s="6">
        <v>2</v>
      </c>
      <c r="AH12" s="6">
        <v>1</v>
      </c>
      <c r="AI12" s="6">
        <v>0</v>
      </c>
      <c r="AJ12" s="6">
        <v>0</v>
      </c>
      <c r="AK12" s="6">
        <v>0</v>
      </c>
      <c r="AL12" s="6">
        <v>0</v>
      </c>
      <c r="AM12" s="6">
        <v>1</v>
      </c>
      <c r="AN12" s="6">
        <v>0</v>
      </c>
      <c r="AO12" s="6">
        <v>0</v>
      </c>
      <c r="AP12" s="6">
        <v>0</v>
      </c>
      <c r="AQ12" s="6">
        <v>0</v>
      </c>
      <c r="AR12" s="6">
        <v>0</v>
      </c>
      <c r="AS12" s="6">
        <v>0</v>
      </c>
      <c r="AT12" s="6">
        <v>0</v>
      </c>
      <c r="AU12" s="6">
        <v>0</v>
      </c>
      <c r="AV12" s="6">
        <v>0</v>
      </c>
      <c r="AW12" s="6">
        <v>0</v>
      </c>
      <c r="AX12" s="40">
        <f t="shared" si="1"/>
        <v>4</v>
      </c>
      <c r="AY12" s="6">
        <v>0</v>
      </c>
      <c r="AZ12" s="6">
        <v>0</v>
      </c>
      <c r="BA12" s="6">
        <v>0</v>
      </c>
      <c r="BB12" s="36">
        <f t="shared" si="29"/>
        <v>0</v>
      </c>
      <c r="BC12" s="6">
        <v>0</v>
      </c>
      <c r="BD12" s="6">
        <v>0</v>
      </c>
      <c r="BE12" s="6">
        <v>0</v>
      </c>
      <c r="BF12" s="36">
        <f t="shared" si="3"/>
        <v>0</v>
      </c>
      <c r="BG12" s="6">
        <v>7</v>
      </c>
      <c r="BH12" s="6">
        <v>1</v>
      </c>
      <c r="BI12" s="6">
        <v>0</v>
      </c>
      <c r="BJ12" s="36">
        <f t="shared" si="4"/>
        <v>1386</v>
      </c>
      <c r="BK12" s="6">
        <v>8</v>
      </c>
      <c r="BL12" s="6">
        <v>0</v>
      </c>
      <c r="BM12" s="36">
        <f t="shared" si="5"/>
        <v>3360</v>
      </c>
      <c r="BN12" s="33">
        <f t="shared" si="6"/>
        <v>1386</v>
      </c>
      <c r="BO12" s="14" t="s">
        <v>239</v>
      </c>
      <c r="BP12" s="17" t="s">
        <v>239</v>
      </c>
      <c r="BQ12" s="7" t="s">
        <v>383</v>
      </c>
      <c r="BR12" s="27">
        <v>0.46597222222222223</v>
      </c>
      <c r="BS12" s="6" t="s">
        <v>384</v>
      </c>
      <c r="BT12" s="36">
        <v>1503371</v>
      </c>
      <c r="BU12" s="6">
        <v>46</v>
      </c>
      <c r="BV12" s="54" t="s">
        <v>382</v>
      </c>
      <c r="BX12" s="6">
        <v>0</v>
      </c>
      <c r="BY12" s="6">
        <v>0</v>
      </c>
      <c r="BZ12" s="6">
        <v>0</v>
      </c>
      <c r="CA12" s="6">
        <v>0</v>
      </c>
      <c r="CB12" s="6">
        <v>0</v>
      </c>
      <c r="CC12" s="6">
        <v>0</v>
      </c>
      <c r="CD12" s="6">
        <v>0</v>
      </c>
      <c r="CE12" s="6">
        <v>0</v>
      </c>
      <c r="CF12" s="6">
        <v>0</v>
      </c>
      <c r="CG12" s="6">
        <v>0</v>
      </c>
      <c r="CH12" s="6">
        <v>0</v>
      </c>
      <c r="CI12" s="31">
        <f t="shared" si="7"/>
        <v>0</v>
      </c>
      <c r="CJ12" s="6">
        <v>0</v>
      </c>
      <c r="CK12" s="6">
        <v>0</v>
      </c>
      <c r="CL12" s="6">
        <v>0</v>
      </c>
      <c r="CM12" s="6">
        <v>0</v>
      </c>
      <c r="CN12" s="6">
        <v>0</v>
      </c>
      <c r="CO12" s="6">
        <v>0</v>
      </c>
      <c r="CP12" s="6">
        <v>0</v>
      </c>
      <c r="CQ12" s="6">
        <v>0</v>
      </c>
      <c r="CR12" s="6">
        <v>1</v>
      </c>
      <c r="CS12" s="6">
        <v>0</v>
      </c>
      <c r="CT12" s="6">
        <v>0</v>
      </c>
      <c r="CU12" s="6">
        <v>0</v>
      </c>
      <c r="CV12" s="6">
        <v>0</v>
      </c>
      <c r="CW12" s="6">
        <v>0</v>
      </c>
      <c r="CX12" s="6">
        <v>0</v>
      </c>
      <c r="CY12" s="6">
        <v>0</v>
      </c>
      <c r="CZ12" s="6">
        <v>0</v>
      </c>
      <c r="DA12" s="32">
        <f t="shared" si="8"/>
        <v>1</v>
      </c>
      <c r="DB12" s="6">
        <v>0</v>
      </c>
      <c r="DC12" s="6">
        <v>0</v>
      </c>
      <c r="DD12" s="6">
        <v>0</v>
      </c>
      <c r="DE12" s="36">
        <f t="shared" si="9"/>
        <v>0</v>
      </c>
      <c r="DF12" s="6">
        <v>0</v>
      </c>
      <c r="DG12" s="6">
        <v>0</v>
      </c>
      <c r="DH12" s="6">
        <v>0</v>
      </c>
      <c r="DI12" s="36">
        <f t="shared" si="10"/>
        <v>0</v>
      </c>
      <c r="DJ12" s="6">
        <v>7</v>
      </c>
      <c r="DK12" s="6">
        <v>1</v>
      </c>
      <c r="DL12" s="6">
        <v>0</v>
      </c>
      <c r="DM12" s="36">
        <f t="shared" si="11"/>
        <v>1386</v>
      </c>
      <c r="DN12" s="6">
        <v>8</v>
      </c>
      <c r="DO12" s="6">
        <v>0</v>
      </c>
      <c r="DP12" s="36">
        <f t="shared" si="12"/>
        <v>3360</v>
      </c>
      <c r="DQ12" s="33">
        <f t="shared" si="13"/>
        <v>1386</v>
      </c>
      <c r="DR12" s="14" t="s">
        <v>239</v>
      </c>
      <c r="DS12" s="17" t="s">
        <v>239</v>
      </c>
      <c r="DT12" s="7"/>
      <c r="EL12" s="11"/>
      <c r="FD12" s="32">
        <f t="shared" si="30"/>
        <v>0</v>
      </c>
      <c r="FP12" s="36">
        <f t="shared" si="18"/>
        <v>0</v>
      </c>
      <c r="FS12" s="36">
        <f t="shared" si="19"/>
        <v>0</v>
      </c>
      <c r="FT12" s="33">
        <f t="shared" si="20"/>
        <v>0</v>
      </c>
      <c r="FU12" s="14"/>
      <c r="FV12" s="17"/>
      <c r="FW12" s="7"/>
      <c r="GO12" s="11"/>
      <c r="HG12" s="8"/>
      <c r="HW12" s="14"/>
      <c r="HX12" s="14"/>
      <c r="HY12" s="18"/>
    </row>
    <row r="13" spans="1:235">
      <c r="BF13" s="36">
        <f t="shared" si="3"/>
        <v>0</v>
      </c>
      <c r="BJ13" s="36">
        <f t="shared" si="4"/>
        <v>0</v>
      </c>
      <c r="BM13" s="36">
        <f t="shared" si="5"/>
        <v>0</v>
      </c>
      <c r="BN13" s="33">
        <f t="shared" si="6"/>
        <v>0</v>
      </c>
      <c r="BV13" s="55"/>
      <c r="CI13" s="31">
        <f t="shared" si="7"/>
        <v>0</v>
      </c>
      <c r="DA13" s="32">
        <f t="shared" si="8"/>
        <v>0</v>
      </c>
      <c r="DE13" s="36">
        <f t="shared" si="9"/>
        <v>0</v>
      </c>
      <c r="DI13" s="36">
        <f t="shared" si="10"/>
        <v>0</v>
      </c>
      <c r="DM13" s="36">
        <f t="shared" si="11"/>
        <v>0</v>
      </c>
      <c r="DP13" s="36">
        <f t="shared" si="12"/>
        <v>0</v>
      </c>
      <c r="DQ13" s="33">
        <f t="shared" si="13"/>
        <v>0</v>
      </c>
      <c r="FD13" s="32">
        <f t="shared" si="30"/>
        <v>0</v>
      </c>
      <c r="FP13" s="36">
        <f t="shared" si="18"/>
        <v>0</v>
      </c>
      <c r="FS13" s="36">
        <f t="shared" si="19"/>
        <v>0</v>
      </c>
      <c r="FT13" s="33">
        <f t="shared" si="20"/>
        <v>0</v>
      </c>
    </row>
    <row r="14" spans="1:235">
      <c r="BF14" s="36">
        <f t="shared" si="3"/>
        <v>0</v>
      </c>
      <c r="BJ14" s="36">
        <f t="shared" si="4"/>
        <v>0</v>
      </c>
      <c r="BM14" s="36">
        <f t="shared" si="5"/>
        <v>0</v>
      </c>
      <c r="BN14" s="33">
        <f t="shared" si="6"/>
        <v>0</v>
      </c>
      <c r="CI14" s="31">
        <f t="shared" si="7"/>
        <v>0</v>
      </c>
      <c r="DA14" s="32">
        <f t="shared" si="8"/>
        <v>0</v>
      </c>
      <c r="DE14" s="36">
        <f t="shared" si="9"/>
        <v>0</v>
      </c>
      <c r="DI14" s="36">
        <f t="shared" si="10"/>
        <v>0</v>
      </c>
      <c r="DM14" s="36">
        <f t="shared" si="11"/>
        <v>0</v>
      </c>
      <c r="DP14" s="36">
        <f t="shared" si="12"/>
        <v>0</v>
      </c>
      <c r="DQ14" s="33">
        <f t="shared" si="13"/>
        <v>0</v>
      </c>
      <c r="FP14" s="36">
        <f t="shared" si="18"/>
        <v>0</v>
      </c>
      <c r="FS14" s="36">
        <f t="shared" si="19"/>
        <v>0</v>
      </c>
    </row>
    <row r="15" spans="1:235">
      <c r="BF15" s="36">
        <f t="shared" si="3"/>
        <v>0</v>
      </c>
      <c r="BJ15" s="36">
        <f t="shared" si="4"/>
        <v>0</v>
      </c>
      <c r="BM15" s="36">
        <f t="shared" si="5"/>
        <v>0</v>
      </c>
      <c r="BN15" s="33">
        <f t="shared" si="6"/>
        <v>0</v>
      </c>
      <c r="DE15" s="36">
        <f t="shared" si="9"/>
        <v>0</v>
      </c>
      <c r="DI15" s="36">
        <f t="shared" si="10"/>
        <v>0</v>
      </c>
      <c r="DM15" s="36">
        <f t="shared" si="11"/>
        <v>0</v>
      </c>
      <c r="DP15" s="36">
        <f t="shared" si="12"/>
        <v>0</v>
      </c>
      <c r="DQ15" s="33">
        <f t="shared" si="13"/>
        <v>0</v>
      </c>
      <c r="FP15" s="36">
        <f t="shared" si="18"/>
        <v>0</v>
      </c>
      <c r="FS15" s="36">
        <f t="shared" si="19"/>
        <v>0</v>
      </c>
    </row>
    <row r="16" spans="1:235">
      <c r="BJ16" s="36">
        <f t="shared" si="4"/>
        <v>0</v>
      </c>
      <c r="DE16" s="36">
        <f t="shared" si="9"/>
        <v>0</v>
      </c>
      <c r="DI16" s="36">
        <f t="shared" si="10"/>
        <v>0</v>
      </c>
      <c r="DM16" s="36">
        <f t="shared" si="11"/>
        <v>0</v>
      </c>
      <c r="DP16" s="36">
        <f t="shared" si="12"/>
        <v>0</v>
      </c>
      <c r="DQ16" s="33">
        <f t="shared" si="13"/>
        <v>0</v>
      </c>
      <c r="FP16" s="36">
        <f t="shared" si="18"/>
        <v>0</v>
      </c>
    </row>
    <row r="17" spans="109:172">
      <c r="DE17" s="36">
        <f t="shared" si="9"/>
        <v>0</v>
      </c>
      <c r="DI17" s="36">
        <f t="shared" si="10"/>
        <v>0</v>
      </c>
      <c r="DM17" s="36">
        <f t="shared" si="11"/>
        <v>0</v>
      </c>
      <c r="DP17" s="36">
        <f t="shared" si="12"/>
        <v>0</v>
      </c>
      <c r="DQ17" s="33">
        <f t="shared" si="13"/>
        <v>0</v>
      </c>
      <c r="FP17" s="36">
        <f t="shared" si="18"/>
        <v>0</v>
      </c>
    </row>
    <row r="18" spans="109:172">
      <c r="DE18" s="36">
        <f t="shared" si="9"/>
        <v>0</v>
      </c>
      <c r="DI18" s="36">
        <f t="shared" si="10"/>
        <v>0</v>
      </c>
      <c r="DM18" s="36">
        <f t="shared" si="11"/>
        <v>0</v>
      </c>
      <c r="DP18" s="36">
        <f t="shared" si="12"/>
        <v>0</v>
      </c>
    </row>
    <row r="19" spans="109:172">
      <c r="DE19" s="36">
        <f t="shared" si="9"/>
        <v>0</v>
      </c>
      <c r="DI19" s="36">
        <f t="shared" si="10"/>
        <v>0</v>
      </c>
      <c r="DP19" s="36">
        <f t="shared" si="12"/>
        <v>0</v>
      </c>
    </row>
    <row r="20" spans="109:172">
      <c r="DE20" s="36">
        <f t="shared" si="9"/>
        <v>0</v>
      </c>
      <c r="DI20" s="36">
        <f t="shared" si="10"/>
        <v>0</v>
      </c>
    </row>
    <row r="21" spans="109:172">
      <c r="DE21" s="36">
        <f t="shared" si="9"/>
        <v>0</v>
      </c>
      <c r="DI21" s="36">
        <f t="shared" si="10"/>
        <v>0</v>
      </c>
    </row>
    <row r="22" spans="109:172">
      <c r="DE22" s="36">
        <f t="shared" si="9"/>
        <v>0</v>
      </c>
    </row>
    <row r="23" spans="109:172">
      <c r="DE23" s="36">
        <f t="shared" si="9"/>
        <v>0</v>
      </c>
    </row>
    <row r="24" spans="109:172">
      <c r="DE24" s="36">
        <f t="shared" si="9"/>
        <v>0</v>
      </c>
    </row>
    <row r="25" spans="109:172">
      <c r="DE25" s="36">
        <f t="shared" si="9"/>
        <v>0</v>
      </c>
    </row>
    <row r="26" spans="109:172">
      <c r="DE26" s="36">
        <f t="shared" si="9"/>
        <v>0</v>
      </c>
    </row>
    <row r="27" spans="109:172">
      <c r="DE27" s="36">
        <f t="shared" si="9"/>
        <v>0</v>
      </c>
    </row>
    <row r="28" spans="109:172">
      <c r="DE28" s="36">
        <f t="shared" si="9"/>
        <v>0</v>
      </c>
    </row>
    <row r="29" spans="109:172">
      <c r="DE29" s="36">
        <f t="shared" si="9"/>
        <v>0</v>
      </c>
    </row>
    <row r="30" spans="109:172">
      <c r="DE30" s="36">
        <f t="shared" si="9"/>
        <v>0</v>
      </c>
    </row>
    <row r="31" spans="109:172">
      <c r="DE31" s="36">
        <f t="shared" si="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67F0-F504-465D-ABCF-D7EB92E7166D}">
  <dimension ref="A1:IP106"/>
  <sheetViews>
    <sheetView workbookViewId="0">
      <pane ySplit="1" topLeftCell="C11" activePane="bottomLeft" state="frozen"/>
      <selection pane="bottomLeft" activeCell="D17" sqref="D17"/>
    </sheetView>
  </sheetViews>
  <sheetFormatPr defaultRowHeight="15.75" outlineLevelCol="1"/>
  <cols>
    <col min="1" max="1" width="18.875" customWidth="1"/>
    <col min="2" max="2" width="10.875" style="3" customWidth="1"/>
    <col min="3" max="3" width="28.625" customWidth="1"/>
    <col min="4" max="4" width="10" style="21" customWidth="1"/>
    <col min="5" max="5" width="13" customWidth="1"/>
    <col min="6" max="6" width="4" customWidth="1"/>
    <col min="7" max="7" width="7.125" customWidth="1"/>
    <col min="8" max="8" width="8.375" bestFit="1" customWidth="1"/>
    <col min="9" max="9" width="10.875" bestFit="1" customWidth="1"/>
    <col min="10" max="10" width="12" bestFit="1" customWidth="1"/>
    <col min="11" max="11" width="22.75" customWidth="1"/>
    <col min="12" max="12" width="28.5" style="21" customWidth="1"/>
    <col min="13" max="13" width="14.875" customWidth="1"/>
    <col min="14" max="14" width="11.25" style="3" customWidth="1"/>
    <col min="15" max="15" width="7.625" customWidth="1" outlineLevel="1"/>
    <col min="16" max="16" width="14.5" customWidth="1" outlineLevel="1"/>
    <col min="17" max="17" width="15.375" customWidth="1" outlineLevel="1"/>
    <col min="18" max="18" width="26.125" customWidth="1" outlineLevel="1"/>
    <col min="19" max="19" width="32.875" customWidth="1" outlineLevel="1"/>
    <col min="20" max="20" width="4.125" customWidth="1"/>
    <col min="21" max="29" width="11.125" hidden="1" customWidth="1" outlineLevel="1"/>
    <col min="30" max="31" width="12.125" hidden="1" customWidth="1" outlineLevel="1"/>
    <col min="32" max="32" width="15" style="13" bestFit="1" customWidth="1" collapsed="1"/>
    <col min="33" max="41" width="11" hidden="1" customWidth="1" outlineLevel="1"/>
    <col min="42" max="49" width="12" hidden="1" customWidth="1" outlineLevel="1"/>
    <col min="50" max="50" width="14.875" style="123" bestFit="1" customWidth="1" collapsed="1"/>
    <col min="51" max="51" width="14.75" style="6" hidden="1" customWidth="1" outlineLevel="1"/>
    <col min="52" max="52" width="15.875" style="6" hidden="1" customWidth="1" outlineLevel="1"/>
    <col min="53" max="53" width="14.25" style="6" hidden="1" customWidth="1" outlineLevel="1"/>
    <col min="54" max="54" width="14.75" style="6" hidden="1" customWidth="1" outlineLevel="1"/>
    <col min="55" max="55" width="13.875" style="6" hidden="1" customWidth="1" outlineLevel="1"/>
    <col min="56" max="56" width="15" style="6" hidden="1" customWidth="1" outlineLevel="1"/>
    <col min="57" max="57" width="13.375" style="6" hidden="1" customWidth="1" outlineLevel="1"/>
    <col min="58" max="58" width="13.875" style="6" hidden="1" customWidth="1" outlineLevel="1"/>
    <col min="59" max="59" width="13.625" style="6" hidden="1" customWidth="1" outlineLevel="1"/>
    <col min="60" max="60" width="14.75" style="6" hidden="1" customWidth="1" outlineLevel="1"/>
    <col min="61" max="61" width="13.125" style="6" hidden="1" customWidth="1" outlineLevel="1"/>
    <col min="62" max="62" width="13.625" style="6" hidden="1" customWidth="1" outlineLevel="1"/>
    <col min="63" max="63" width="15.375" style="6" hidden="1" customWidth="1" outlineLevel="1"/>
    <col min="64" max="64" width="13.75" style="6" hidden="1" customWidth="1" outlineLevel="1"/>
    <col min="65" max="65" width="14.25" style="6" hidden="1" customWidth="1" outlineLevel="1"/>
    <col min="66" max="66" width="12.75" style="14" customWidth="1" collapsed="1"/>
    <col min="67" max="67" width="32.25" style="16" customWidth="1"/>
    <col min="68" max="68" width="38.5" style="98" customWidth="1"/>
    <col min="69" max="69" width="10" style="3" customWidth="1"/>
    <col min="70" max="70" width="8" customWidth="1" outlineLevel="1"/>
    <col min="71" max="71" width="14.5" customWidth="1" outlineLevel="1"/>
    <col min="72" max="72" width="15.375" customWidth="1" outlineLevel="1"/>
    <col min="73" max="73" width="13.375" customWidth="1" outlineLevel="1"/>
    <col min="74" max="74" width="25.25" customWidth="1" outlineLevel="1"/>
    <col min="75" max="75" width="4" customWidth="1"/>
    <col min="76" max="84" width="11.125" hidden="1" customWidth="1" outlineLevel="1"/>
    <col min="85" max="86" width="12.125" hidden="1" customWidth="1" outlineLevel="1"/>
    <col min="87" max="87" width="15" style="13" customWidth="1" collapsed="1"/>
    <col min="88" max="96" width="11" hidden="1" customWidth="1" outlineLevel="1"/>
    <col min="97" max="104" width="12" hidden="1" customWidth="1" outlineLevel="1"/>
    <col min="105" max="105" width="14.875" style="9" bestFit="1" customWidth="1" collapsed="1"/>
    <col min="106" max="106" width="14.75" style="6" hidden="1" customWidth="1" outlineLevel="1"/>
    <col min="107" max="107" width="15.875" style="6" hidden="1" customWidth="1" outlineLevel="1"/>
    <col min="108" max="108" width="14.25" style="6" hidden="1" customWidth="1" outlineLevel="1"/>
    <col min="109" max="109" width="14.75" style="6" hidden="1" customWidth="1" outlineLevel="1"/>
    <col min="110" max="110" width="13.875" style="6" hidden="1" customWidth="1" outlineLevel="1"/>
    <col min="111" max="111" width="15" style="6" hidden="1" customWidth="1" outlineLevel="1"/>
    <col min="112" max="112" width="13.375" style="6" hidden="1" customWidth="1" outlineLevel="1"/>
    <col min="113" max="113" width="13.875" style="6" hidden="1" customWidth="1" outlineLevel="1"/>
    <col min="114" max="114" width="13.625" style="6" hidden="1" customWidth="1" outlineLevel="1"/>
    <col min="115" max="115" width="14.75" style="6" hidden="1" customWidth="1" outlineLevel="1"/>
    <col min="116" max="116" width="13.125" style="6" hidden="1" customWidth="1" outlineLevel="1"/>
    <col min="117" max="117" width="13.625" style="6" hidden="1" customWidth="1" outlineLevel="1"/>
    <col min="118" max="118" width="15.375" style="6" hidden="1" customWidth="1" outlineLevel="1"/>
    <col min="119" max="119" width="13.75" style="6" hidden="1" customWidth="1" outlineLevel="1"/>
    <col min="120" max="120" width="14.25" style="6" hidden="1" customWidth="1" outlineLevel="1"/>
    <col min="121" max="121" width="12.75" style="14" customWidth="1" collapsed="1"/>
    <col min="122" max="122" width="19.875" style="16" customWidth="1"/>
    <col min="123" max="123" width="34.875" style="19" customWidth="1"/>
    <col min="124" max="124" width="10" style="3" customWidth="1"/>
    <col min="125" max="125" width="7.625" customWidth="1" outlineLevel="1"/>
    <col min="126" max="126" width="14.5" customWidth="1" outlineLevel="1"/>
    <col min="127" max="127" width="15.375" customWidth="1" outlineLevel="1"/>
    <col min="128" max="128" width="13.375" customWidth="1" outlineLevel="1"/>
    <col min="129" max="129" width="25.875" customWidth="1" outlineLevel="1"/>
    <col min="130" max="130" width="2.875" customWidth="1"/>
    <col min="131" max="139" width="11.125" hidden="1" customWidth="1" outlineLevel="1"/>
    <col min="140" max="141" width="12.125" hidden="1" customWidth="1" outlineLevel="1"/>
    <col min="142" max="142" width="15" style="13" bestFit="1" customWidth="1" collapsed="1"/>
    <col min="143" max="151" width="11" hidden="1" customWidth="1" outlineLevel="1"/>
    <col min="152" max="159" width="12" hidden="1" customWidth="1" outlineLevel="1"/>
    <col min="160" max="160" width="14.875" style="9" bestFit="1" customWidth="1" collapsed="1"/>
    <col min="161" max="161" width="14.75" hidden="1" customWidth="1" outlineLevel="1"/>
    <col min="162" max="162" width="15.875" hidden="1" customWidth="1" outlineLevel="1"/>
    <col min="163" max="163" width="14.25" hidden="1" customWidth="1" outlineLevel="1"/>
    <col min="164" max="164" width="14.75" hidden="1" customWidth="1" outlineLevel="1"/>
    <col min="165" max="165" width="13.875" hidden="1" customWidth="1" outlineLevel="1"/>
    <col min="166" max="166" width="15" hidden="1" customWidth="1" outlineLevel="1"/>
    <col min="167" max="167" width="13.375" hidden="1" customWidth="1" outlineLevel="1"/>
    <col min="168" max="168" width="13.875" hidden="1" customWidth="1" outlineLevel="1"/>
    <col min="169" max="169" width="13.625" hidden="1" customWidth="1" outlineLevel="1"/>
    <col min="170" max="170" width="14.75" hidden="1" customWidth="1" outlineLevel="1"/>
    <col min="171" max="171" width="13.125" hidden="1" customWidth="1" outlineLevel="1"/>
    <col min="172" max="172" width="13.625" hidden="1" customWidth="1" outlineLevel="1"/>
    <col min="173" max="173" width="15.375" hidden="1" customWidth="1" outlineLevel="1"/>
    <col min="174" max="174" width="13.75" hidden="1" customWidth="1" outlineLevel="1"/>
    <col min="175" max="175" width="14.25" hidden="1" customWidth="1" outlineLevel="1"/>
    <col min="176" max="176" width="12.75" style="16" customWidth="1" collapsed="1"/>
    <col min="177" max="177" width="27.25" style="16" customWidth="1"/>
    <col min="178" max="178" width="29.75" style="98" customWidth="1"/>
    <col min="179" max="179" width="10" style="3" bestFit="1" customWidth="1"/>
    <col min="180" max="180" width="7.625" hidden="1" customWidth="1" outlineLevel="1"/>
    <col min="181" max="181" width="14.5" hidden="1" customWidth="1" outlineLevel="1"/>
    <col min="182" max="182" width="15.375" hidden="1" customWidth="1" outlineLevel="1"/>
    <col min="183" max="183" width="13.375" hidden="1" customWidth="1" outlineLevel="1"/>
    <col min="184" max="184" width="22" hidden="1" customWidth="1" outlineLevel="1"/>
    <col min="185" max="185" width="3.875" customWidth="1" collapsed="1"/>
    <col min="186" max="194" width="11.125" hidden="1" customWidth="1" outlineLevel="1"/>
    <col min="195" max="196" width="12.125" hidden="1" customWidth="1" outlineLevel="1"/>
    <col min="197" max="197" width="15" style="13" bestFit="1" customWidth="1" collapsed="1"/>
    <col min="198" max="206" width="0" hidden="1" customWidth="1" outlineLevel="1"/>
    <col min="207" max="214" width="12" hidden="1" customWidth="1" outlineLevel="1"/>
    <col min="215" max="215" width="14.875" style="123" bestFit="1" customWidth="1" collapsed="1"/>
    <col min="216" max="216" width="14.75" hidden="1" customWidth="1" outlineLevel="1"/>
    <col min="217" max="217" width="15.875" hidden="1" customWidth="1" outlineLevel="1"/>
    <col min="218" max="218" width="14.25" hidden="1" customWidth="1" outlineLevel="1"/>
    <col min="219" max="219" width="14.75" hidden="1" customWidth="1" outlineLevel="1"/>
    <col min="220" max="220" width="13.875" hidden="1" customWidth="1" outlineLevel="1"/>
    <col min="221" max="221" width="15" hidden="1" customWidth="1" outlineLevel="1"/>
    <col min="222" max="222" width="13.375" hidden="1" customWidth="1" outlineLevel="1"/>
    <col min="223" max="223" width="13.875" hidden="1" customWidth="1" outlineLevel="1"/>
    <col min="224" max="224" width="13.625" hidden="1" customWidth="1" outlineLevel="1"/>
    <col min="225" max="225" width="14.75" hidden="1" customWidth="1" outlineLevel="1"/>
    <col min="226" max="226" width="13.125" hidden="1" customWidth="1" outlineLevel="1"/>
    <col min="227" max="227" width="13.625" hidden="1" customWidth="1" outlineLevel="1"/>
    <col min="228" max="228" width="15.375" hidden="1" customWidth="1" outlineLevel="1"/>
    <col min="229" max="229" width="13.75" hidden="1" customWidth="1" outlineLevel="1"/>
    <col min="230" max="230" width="14.25" hidden="1" customWidth="1" outlineLevel="1"/>
    <col min="231" max="231" width="12.75" style="16" bestFit="1" customWidth="1" collapsed="1"/>
    <col min="232" max="232" width="32.125" style="16" customWidth="1"/>
    <col min="233" max="233" width="30.625" style="18" customWidth="1"/>
    <col min="234" max="234" width="18.375" customWidth="1"/>
    <col min="235" max="235" width="15.625" customWidth="1"/>
  </cols>
  <sheetData>
    <row r="1" spans="1:250" s="36" customFormat="1">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0"/>
      <c r="U1" s="31" t="s">
        <v>19</v>
      </c>
      <c r="V1" s="31" t="s">
        <v>20</v>
      </c>
      <c r="W1" s="31" t="s">
        <v>21</v>
      </c>
      <c r="X1" s="31" t="s">
        <v>22</v>
      </c>
      <c r="Y1" s="31" t="s">
        <v>23</v>
      </c>
      <c r="Z1" s="31" t="s">
        <v>24</v>
      </c>
      <c r="AA1" s="31" t="s">
        <v>25</v>
      </c>
      <c r="AB1" s="31" t="s">
        <v>26</v>
      </c>
      <c r="AC1" s="31" t="s">
        <v>27</v>
      </c>
      <c r="AD1" s="31" t="s">
        <v>28</v>
      </c>
      <c r="AE1" s="31" t="s">
        <v>29</v>
      </c>
      <c r="AF1" s="31" t="s">
        <v>30</v>
      </c>
      <c r="AG1" s="32" t="s">
        <v>31</v>
      </c>
      <c r="AH1" s="32" t="s">
        <v>32</v>
      </c>
      <c r="AI1" s="32" t="s">
        <v>33</v>
      </c>
      <c r="AJ1" s="32" t="s">
        <v>34</v>
      </c>
      <c r="AK1" s="32" t="s">
        <v>35</v>
      </c>
      <c r="AL1" s="32" t="s">
        <v>36</v>
      </c>
      <c r="AM1" s="32" t="s">
        <v>37</v>
      </c>
      <c r="AN1" s="32" t="s">
        <v>38</v>
      </c>
      <c r="AO1" s="32" t="s">
        <v>39</v>
      </c>
      <c r="AP1" s="32" t="s">
        <v>40</v>
      </c>
      <c r="AQ1" s="32" t="s">
        <v>41</v>
      </c>
      <c r="AR1" s="32" t="s">
        <v>42</v>
      </c>
      <c r="AS1" s="32" t="s">
        <v>43</v>
      </c>
      <c r="AT1" s="32" t="s">
        <v>44</v>
      </c>
      <c r="AU1" s="32" t="s">
        <v>45</v>
      </c>
      <c r="AV1" s="32" t="s">
        <v>46</v>
      </c>
      <c r="AW1" s="32" t="s">
        <v>47</v>
      </c>
      <c r="AX1" s="117" t="s">
        <v>48</v>
      </c>
      <c r="AY1" s="33" t="s">
        <v>49</v>
      </c>
      <c r="AZ1" s="33" t="s">
        <v>50</v>
      </c>
      <c r="BA1" s="33" t="s">
        <v>51</v>
      </c>
      <c r="BB1" s="33" t="s">
        <v>52</v>
      </c>
      <c r="BC1" s="33" t="s">
        <v>53</v>
      </c>
      <c r="BD1" s="33" t="s">
        <v>54</v>
      </c>
      <c r="BE1" s="33" t="s">
        <v>55</v>
      </c>
      <c r="BF1" s="33" t="s">
        <v>56</v>
      </c>
      <c r="BG1" s="33" t="s">
        <v>57</v>
      </c>
      <c r="BH1" s="33" t="s">
        <v>58</v>
      </c>
      <c r="BI1" s="33" t="s">
        <v>59</v>
      </c>
      <c r="BJ1" s="33" t="s">
        <v>60</v>
      </c>
      <c r="BK1" s="33" t="s">
        <v>61</v>
      </c>
      <c r="BL1" s="33" t="s">
        <v>62</v>
      </c>
      <c r="BM1" s="33" t="s">
        <v>63</v>
      </c>
      <c r="BN1" s="33" t="s">
        <v>64</v>
      </c>
      <c r="BO1" s="33" t="s">
        <v>65</v>
      </c>
      <c r="BP1" s="90" t="s">
        <v>66</v>
      </c>
      <c r="BQ1" s="30" t="s">
        <v>67</v>
      </c>
      <c r="BR1" s="30" t="s">
        <v>68</v>
      </c>
      <c r="BS1" s="30" t="s">
        <v>69</v>
      </c>
      <c r="BT1" s="30" t="s">
        <v>70</v>
      </c>
      <c r="BU1" s="30" t="s">
        <v>71</v>
      </c>
      <c r="BV1" s="30" t="s">
        <v>72</v>
      </c>
      <c r="BW1" s="30"/>
      <c r="BX1" s="31" t="s">
        <v>73</v>
      </c>
      <c r="BY1" s="31" t="s">
        <v>74</v>
      </c>
      <c r="BZ1" s="31" t="s">
        <v>75</v>
      </c>
      <c r="CA1" s="31" t="s">
        <v>76</v>
      </c>
      <c r="CB1" s="31" t="s">
        <v>77</v>
      </c>
      <c r="CC1" s="31" t="s">
        <v>78</v>
      </c>
      <c r="CD1" s="31" t="s">
        <v>79</v>
      </c>
      <c r="CE1" s="31" t="s">
        <v>80</v>
      </c>
      <c r="CF1" s="31" t="s">
        <v>81</v>
      </c>
      <c r="CG1" s="31" t="s">
        <v>82</v>
      </c>
      <c r="CH1" s="31" t="s">
        <v>83</v>
      </c>
      <c r="CI1" s="31" t="s">
        <v>84</v>
      </c>
      <c r="CJ1" s="32" t="s">
        <v>85</v>
      </c>
      <c r="CK1" s="32" t="s">
        <v>86</v>
      </c>
      <c r="CL1" s="32" t="s">
        <v>87</v>
      </c>
      <c r="CM1" s="32" t="s">
        <v>88</v>
      </c>
      <c r="CN1" s="32" t="s">
        <v>89</v>
      </c>
      <c r="CO1" s="32" t="s">
        <v>90</v>
      </c>
      <c r="CP1" s="32" t="s">
        <v>91</v>
      </c>
      <c r="CQ1" s="32" t="s">
        <v>92</v>
      </c>
      <c r="CR1" s="32" t="s">
        <v>93</v>
      </c>
      <c r="CS1" s="32" t="s">
        <v>94</v>
      </c>
      <c r="CT1" s="32" t="s">
        <v>95</v>
      </c>
      <c r="CU1" s="32" t="s">
        <v>96</v>
      </c>
      <c r="CV1" s="32" t="s">
        <v>97</v>
      </c>
      <c r="CW1" s="32" t="s">
        <v>98</v>
      </c>
      <c r="CX1" s="32" t="s">
        <v>99</v>
      </c>
      <c r="CY1" s="32" t="s">
        <v>100</v>
      </c>
      <c r="CZ1" s="32" t="s">
        <v>101</v>
      </c>
      <c r="DA1" s="32" t="s">
        <v>102</v>
      </c>
      <c r="DB1" s="33" t="s">
        <v>103</v>
      </c>
      <c r="DC1" s="33" t="s">
        <v>104</v>
      </c>
      <c r="DD1" s="33" t="s">
        <v>105</v>
      </c>
      <c r="DE1" s="33" t="s">
        <v>106</v>
      </c>
      <c r="DF1" s="33" t="s">
        <v>107</v>
      </c>
      <c r="DG1" s="33" t="s">
        <v>108</v>
      </c>
      <c r="DH1" s="33" t="s">
        <v>109</v>
      </c>
      <c r="DI1" s="33" t="s">
        <v>110</v>
      </c>
      <c r="DJ1" s="33" t="s">
        <v>111</v>
      </c>
      <c r="DK1" s="33" t="s">
        <v>112</v>
      </c>
      <c r="DL1" s="33" t="s">
        <v>113</v>
      </c>
      <c r="DM1" s="33" t="s">
        <v>114</v>
      </c>
      <c r="DN1" s="33" t="s">
        <v>115</v>
      </c>
      <c r="DO1" s="33" t="s">
        <v>116</v>
      </c>
      <c r="DP1" s="33" t="s">
        <v>117</v>
      </c>
      <c r="DQ1" s="33" t="s">
        <v>118</v>
      </c>
      <c r="DR1" s="33" t="s">
        <v>119</v>
      </c>
      <c r="DS1" s="34" t="s">
        <v>120</v>
      </c>
      <c r="DT1" s="30" t="s">
        <v>121</v>
      </c>
      <c r="DU1" s="30" t="s">
        <v>122</v>
      </c>
      <c r="DV1" s="30" t="s">
        <v>123</v>
      </c>
      <c r="DW1" s="30" t="s">
        <v>124</v>
      </c>
      <c r="DX1" s="30" t="s">
        <v>125</v>
      </c>
      <c r="DY1" s="30" t="s">
        <v>126</v>
      </c>
      <c r="DZ1" s="30"/>
      <c r="EA1" s="31" t="s">
        <v>127</v>
      </c>
      <c r="EB1" s="31" t="s">
        <v>128</v>
      </c>
      <c r="EC1" s="31" t="s">
        <v>129</v>
      </c>
      <c r="ED1" s="31" t="s">
        <v>130</v>
      </c>
      <c r="EE1" s="31" t="s">
        <v>131</v>
      </c>
      <c r="EF1" s="31" t="s">
        <v>132</v>
      </c>
      <c r="EG1" s="31" t="s">
        <v>133</v>
      </c>
      <c r="EH1" s="31" t="s">
        <v>134</v>
      </c>
      <c r="EI1" s="31" t="s">
        <v>135</v>
      </c>
      <c r="EJ1" s="31" t="s">
        <v>136</v>
      </c>
      <c r="EK1" s="31" t="s">
        <v>137</v>
      </c>
      <c r="EL1" s="31" t="s">
        <v>138</v>
      </c>
      <c r="EM1" s="32" t="s">
        <v>139</v>
      </c>
      <c r="EN1" s="32" t="s">
        <v>140</v>
      </c>
      <c r="EO1" s="32" t="s">
        <v>141</v>
      </c>
      <c r="EP1" s="32" t="s">
        <v>142</v>
      </c>
      <c r="EQ1" s="32" t="s">
        <v>143</v>
      </c>
      <c r="ER1" s="32" t="s">
        <v>144</v>
      </c>
      <c r="ES1" s="32" t="s">
        <v>145</v>
      </c>
      <c r="ET1" s="32" t="s">
        <v>146</v>
      </c>
      <c r="EU1" s="32" t="s">
        <v>147</v>
      </c>
      <c r="EV1" s="32" t="s">
        <v>148</v>
      </c>
      <c r="EW1" s="32" t="s">
        <v>149</v>
      </c>
      <c r="EX1" s="32" t="s">
        <v>150</v>
      </c>
      <c r="EY1" s="32" t="s">
        <v>151</v>
      </c>
      <c r="EZ1" s="32" t="s">
        <v>152</v>
      </c>
      <c r="FA1" s="32" t="s">
        <v>153</v>
      </c>
      <c r="FB1" s="32" t="s">
        <v>154</v>
      </c>
      <c r="FC1" s="32" t="s">
        <v>155</v>
      </c>
      <c r="FD1" s="32" t="s">
        <v>156</v>
      </c>
      <c r="FE1" s="33" t="s">
        <v>157</v>
      </c>
      <c r="FF1" s="33" t="s">
        <v>158</v>
      </c>
      <c r="FG1" s="33" t="s">
        <v>159</v>
      </c>
      <c r="FH1" s="33" t="s">
        <v>160</v>
      </c>
      <c r="FI1" s="33" t="s">
        <v>161</v>
      </c>
      <c r="FJ1" s="33" t="s">
        <v>162</v>
      </c>
      <c r="FK1" s="33" t="s">
        <v>163</v>
      </c>
      <c r="FL1" s="33" t="s">
        <v>164</v>
      </c>
      <c r="FM1" s="33" t="s">
        <v>165</v>
      </c>
      <c r="FN1" s="33" t="s">
        <v>166</v>
      </c>
      <c r="FO1" s="33" t="s">
        <v>167</v>
      </c>
      <c r="FP1" s="33" t="s">
        <v>168</v>
      </c>
      <c r="FQ1" s="33" t="s">
        <v>169</v>
      </c>
      <c r="FR1" s="33" t="s">
        <v>170</v>
      </c>
      <c r="FS1" s="33" t="s">
        <v>171</v>
      </c>
      <c r="FT1" s="33" t="s">
        <v>172</v>
      </c>
      <c r="FU1" s="33" t="s">
        <v>173</v>
      </c>
      <c r="FV1" s="90" t="s">
        <v>174</v>
      </c>
      <c r="FW1" s="30" t="s">
        <v>175</v>
      </c>
      <c r="FX1" s="30" t="s">
        <v>176</v>
      </c>
      <c r="FY1" s="30" t="s">
        <v>177</v>
      </c>
      <c r="FZ1" s="30" t="s">
        <v>178</v>
      </c>
      <c r="GA1" s="30" t="s">
        <v>179</v>
      </c>
      <c r="GB1" s="30" t="s">
        <v>180</v>
      </c>
      <c r="GC1" s="30"/>
      <c r="GD1" s="31" t="s">
        <v>181</v>
      </c>
      <c r="GE1" s="31" t="s">
        <v>182</v>
      </c>
      <c r="GF1" s="31" t="s">
        <v>183</v>
      </c>
      <c r="GG1" s="31" t="s">
        <v>184</v>
      </c>
      <c r="GH1" s="31" t="s">
        <v>185</v>
      </c>
      <c r="GI1" s="31" t="s">
        <v>186</v>
      </c>
      <c r="GJ1" s="31" t="s">
        <v>187</v>
      </c>
      <c r="GK1" s="31" t="s">
        <v>188</v>
      </c>
      <c r="GL1" s="31" t="s">
        <v>189</v>
      </c>
      <c r="GM1" s="31" t="s">
        <v>190</v>
      </c>
      <c r="GN1" s="31" t="s">
        <v>191</v>
      </c>
      <c r="GO1" s="31" t="s">
        <v>192</v>
      </c>
      <c r="GP1" s="32" t="s">
        <v>193</v>
      </c>
      <c r="GQ1" s="32" t="s">
        <v>194</v>
      </c>
      <c r="GR1" s="32" t="s">
        <v>195</v>
      </c>
      <c r="GS1" s="32" t="s">
        <v>196</v>
      </c>
      <c r="GT1" s="32" t="s">
        <v>197</v>
      </c>
      <c r="GU1" s="32" t="s">
        <v>198</v>
      </c>
      <c r="GV1" s="32" t="s">
        <v>199</v>
      </c>
      <c r="GW1" s="32" t="s">
        <v>200</v>
      </c>
      <c r="GX1" s="32" t="s">
        <v>201</v>
      </c>
      <c r="GY1" s="32" t="s">
        <v>202</v>
      </c>
      <c r="GZ1" s="32" t="s">
        <v>203</v>
      </c>
      <c r="HA1" s="32" t="s">
        <v>204</v>
      </c>
      <c r="HB1" s="32" t="s">
        <v>205</v>
      </c>
      <c r="HC1" s="32" t="s">
        <v>206</v>
      </c>
      <c r="HD1" s="32" t="s">
        <v>207</v>
      </c>
      <c r="HE1" s="32" t="s">
        <v>208</v>
      </c>
      <c r="HF1" s="32" t="s">
        <v>209</v>
      </c>
      <c r="HG1" s="117" t="s">
        <v>210</v>
      </c>
      <c r="HH1" s="33" t="s">
        <v>211</v>
      </c>
      <c r="HI1" s="33" t="s">
        <v>212</v>
      </c>
      <c r="HJ1" s="33" t="s">
        <v>213</v>
      </c>
      <c r="HK1" s="33" t="s">
        <v>214</v>
      </c>
      <c r="HL1" s="33" t="s">
        <v>215</v>
      </c>
      <c r="HM1" s="33" t="s">
        <v>216</v>
      </c>
      <c r="HN1" s="33" t="s">
        <v>217</v>
      </c>
      <c r="HO1" s="33" t="s">
        <v>218</v>
      </c>
      <c r="HP1" s="33" t="s">
        <v>219</v>
      </c>
      <c r="HQ1" s="33" t="s">
        <v>220</v>
      </c>
      <c r="HR1" s="33" t="s">
        <v>221</v>
      </c>
      <c r="HS1" s="33" t="s">
        <v>222</v>
      </c>
      <c r="HT1" s="33" t="s">
        <v>223</v>
      </c>
      <c r="HU1" s="33" t="s">
        <v>224</v>
      </c>
      <c r="HV1" s="33" t="s">
        <v>225</v>
      </c>
      <c r="HW1" s="33" t="s">
        <v>226</v>
      </c>
      <c r="HX1" s="33" t="s">
        <v>227</v>
      </c>
      <c r="HY1" s="35" t="s">
        <v>228</v>
      </c>
      <c r="HZ1" s="63" t="s">
        <v>229</v>
      </c>
      <c r="IA1" s="63" t="s">
        <v>230</v>
      </c>
    </row>
    <row r="2" spans="1:250" s="36" customFormat="1" ht="97.5" customHeight="1">
      <c r="A2" s="36" t="s">
        <v>231</v>
      </c>
      <c r="B2" s="38" t="s">
        <v>232</v>
      </c>
      <c r="C2" s="2" t="s">
        <v>385</v>
      </c>
      <c r="D2" s="37">
        <v>4878004</v>
      </c>
      <c r="E2" s="2" t="s">
        <v>386</v>
      </c>
      <c r="F2" s="2">
        <v>32</v>
      </c>
      <c r="G2" s="2" t="s">
        <v>235</v>
      </c>
      <c r="H2" s="2" t="s">
        <v>237</v>
      </c>
      <c r="I2" s="2" t="s">
        <v>237</v>
      </c>
      <c r="J2" s="2" t="s">
        <v>387</v>
      </c>
      <c r="K2" s="2" t="s">
        <v>237</v>
      </c>
      <c r="L2" s="37" t="s">
        <v>388</v>
      </c>
      <c r="M2" s="2" t="s">
        <v>239</v>
      </c>
      <c r="N2" s="38" t="s">
        <v>240</v>
      </c>
      <c r="O2" s="2" t="s">
        <v>241</v>
      </c>
      <c r="P2" s="2" t="s">
        <v>247</v>
      </c>
      <c r="Q2" s="2">
        <v>1274417</v>
      </c>
      <c r="R2" s="2">
        <v>50</v>
      </c>
      <c r="S2" s="2" t="s">
        <v>389</v>
      </c>
      <c r="T2" s="2"/>
      <c r="U2" s="2">
        <v>3</v>
      </c>
      <c r="V2" s="2">
        <v>2</v>
      </c>
      <c r="W2" s="2">
        <v>2</v>
      </c>
      <c r="X2" s="2">
        <v>2</v>
      </c>
      <c r="Y2" s="2">
        <v>0</v>
      </c>
      <c r="Z2" s="2">
        <v>4</v>
      </c>
      <c r="AA2" s="2">
        <v>2</v>
      </c>
      <c r="AB2" s="2">
        <v>6</v>
      </c>
      <c r="AC2" s="2">
        <v>0</v>
      </c>
      <c r="AD2" s="2">
        <v>2</v>
      </c>
      <c r="AE2" s="2">
        <v>2</v>
      </c>
      <c r="AF2" s="39">
        <f>SUM(U2:AE2)</f>
        <v>25</v>
      </c>
      <c r="AG2" s="2">
        <v>0</v>
      </c>
      <c r="AH2" s="2">
        <v>1</v>
      </c>
      <c r="AI2" s="2">
        <v>0</v>
      </c>
      <c r="AJ2" s="2">
        <v>0</v>
      </c>
      <c r="AK2" s="2">
        <v>0</v>
      </c>
      <c r="AL2" s="2">
        <v>0</v>
      </c>
      <c r="AM2" s="2">
        <v>0</v>
      </c>
      <c r="AN2" s="2">
        <v>0</v>
      </c>
      <c r="AO2" s="2">
        <v>0</v>
      </c>
      <c r="AP2" s="2">
        <v>0</v>
      </c>
      <c r="AQ2" s="2">
        <v>0</v>
      </c>
      <c r="AR2" s="2">
        <v>0</v>
      </c>
      <c r="AS2" s="2">
        <v>0</v>
      </c>
      <c r="AT2" s="2">
        <v>0</v>
      </c>
      <c r="AU2" s="2">
        <v>0</v>
      </c>
      <c r="AV2" s="2">
        <v>0</v>
      </c>
      <c r="AW2" s="2">
        <v>0</v>
      </c>
      <c r="AX2" s="40">
        <f>SUM(AG2:AW2)</f>
        <v>1</v>
      </c>
      <c r="BB2" s="36">
        <f>8*(AY2*(AZ2*60+BA2))</f>
        <v>0</v>
      </c>
      <c r="BF2" s="36">
        <f>4*(BC2*(BD2*60+BE2))</f>
        <v>0</v>
      </c>
      <c r="BJ2" s="36">
        <f>3.3*(BG2*(BH2*60+BI2))</f>
        <v>0</v>
      </c>
      <c r="BM2" s="36">
        <f>1*(7*(BK2*60+BL2))</f>
        <v>0</v>
      </c>
      <c r="BN2" s="33">
        <f>BB2+BF2+BJ2</f>
        <v>0</v>
      </c>
      <c r="BO2" s="41" t="s">
        <v>390</v>
      </c>
      <c r="BP2" s="35" t="s">
        <v>391</v>
      </c>
      <c r="BQ2" s="30" t="s">
        <v>246</v>
      </c>
      <c r="BR2" s="1">
        <v>0.77083333333333337</v>
      </c>
      <c r="BS2" s="2" t="s">
        <v>242</v>
      </c>
      <c r="BT2" s="2">
        <v>1276932</v>
      </c>
      <c r="BU2" s="2">
        <v>48</v>
      </c>
      <c r="BV2" s="2" t="s">
        <v>392</v>
      </c>
      <c r="BW2" s="2"/>
      <c r="BX2" s="36">
        <v>2</v>
      </c>
      <c r="BY2" s="36">
        <v>2</v>
      </c>
      <c r="BZ2" s="36">
        <v>0</v>
      </c>
      <c r="CA2" s="36">
        <v>1</v>
      </c>
      <c r="CB2" s="36">
        <v>0</v>
      </c>
      <c r="CC2" s="36">
        <v>2</v>
      </c>
      <c r="CD2" s="36">
        <v>1</v>
      </c>
      <c r="CE2" s="36">
        <v>0</v>
      </c>
      <c r="CF2" s="36">
        <v>0</v>
      </c>
      <c r="CG2" s="36">
        <v>1</v>
      </c>
      <c r="CH2" s="36">
        <v>2</v>
      </c>
      <c r="CI2" s="31">
        <f>SUM(BX2:CH2)</f>
        <v>11</v>
      </c>
      <c r="CJ2" s="36">
        <v>0</v>
      </c>
      <c r="CK2" s="36">
        <v>1</v>
      </c>
      <c r="CL2" s="36">
        <v>0</v>
      </c>
      <c r="CM2" s="36">
        <v>0</v>
      </c>
      <c r="CN2" s="36">
        <v>0</v>
      </c>
      <c r="CO2" s="36">
        <v>0</v>
      </c>
      <c r="CP2" s="36">
        <v>0</v>
      </c>
      <c r="CQ2" s="36">
        <v>0</v>
      </c>
      <c r="CR2" s="36">
        <v>0</v>
      </c>
      <c r="CS2" s="36">
        <v>1</v>
      </c>
      <c r="CT2" s="36">
        <v>0</v>
      </c>
      <c r="CU2" s="36">
        <v>0</v>
      </c>
      <c r="CV2" s="36">
        <v>0</v>
      </c>
      <c r="CW2" s="36">
        <v>1</v>
      </c>
      <c r="CX2" s="36">
        <v>0</v>
      </c>
      <c r="CY2" s="36">
        <v>0</v>
      </c>
      <c r="CZ2" s="36">
        <v>0</v>
      </c>
      <c r="DA2" s="32">
        <f>SUM(CJ2:CZ2)</f>
        <v>3</v>
      </c>
      <c r="DE2" s="36">
        <f>8*(DB2*(DC2*60+DD2))</f>
        <v>0</v>
      </c>
      <c r="DI2" s="36">
        <f>4*(DF2*(DG2*60+DH2))</f>
        <v>0</v>
      </c>
      <c r="DM2" s="36">
        <f>3.3*(DJ2*(DK2*60+DL2))</f>
        <v>0</v>
      </c>
      <c r="DP2" s="36">
        <f>1*(7*(DN2*60+DO2))</f>
        <v>0</v>
      </c>
      <c r="DQ2" s="33">
        <f>DE2+DI2+DM2</f>
        <v>0</v>
      </c>
      <c r="DR2" s="41" t="s">
        <v>393</v>
      </c>
      <c r="DS2" s="35" t="s">
        <v>394</v>
      </c>
      <c r="DT2" s="30" t="s">
        <v>250</v>
      </c>
      <c r="DU2" s="2" t="s">
        <v>395</v>
      </c>
      <c r="DV2" s="2" t="s">
        <v>242</v>
      </c>
      <c r="DW2" s="2">
        <v>1287410</v>
      </c>
      <c r="DX2" s="2" t="s">
        <v>396</v>
      </c>
      <c r="DY2" s="2" t="s">
        <v>397</v>
      </c>
      <c r="DZ2" s="2"/>
      <c r="EA2" s="36">
        <v>2</v>
      </c>
      <c r="EB2" s="36">
        <v>2</v>
      </c>
      <c r="EC2" s="36">
        <v>0</v>
      </c>
      <c r="ED2" s="36">
        <v>1</v>
      </c>
      <c r="EE2" s="36">
        <v>0</v>
      </c>
      <c r="EF2" s="36">
        <v>2</v>
      </c>
      <c r="EG2" s="36">
        <v>0</v>
      </c>
      <c r="EH2" s="36">
        <v>0</v>
      </c>
      <c r="EI2" s="36">
        <v>0</v>
      </c>
      <c r="EJ2" s="36">
        <v>0</v>
      </c>
      <c r="EK2" s="36">
        <v>2</v>
      </c>
      <c r="EL2" s="31">
        <f>SUM(EA2:EK2)</f>
        <v>9</v>
      </c>
      <c r="EM2" s="36">
        <v>0</v>
      </c>
      <c r="EN2" s="36">
        <v>0</v>
      </c>
      <c r="EO2" s="36">
        <v>0</v>
      </c>
      <c r="EP2" s="36">
        <v>0</v>
      </c>
      <c r="EQ2" s="36">
        <v>0</v>
      </c>
      <c r="ER2" s="36">
        <v>0</v>
      </c>
      <c r="ES2" s="36">
        <v>0</v>
      </c>
      <c r="ET2" s="36">
        <v>0</v>
      </c>
      <c r="EU2" s="36">
        <v>0</v>
      </c>
      <c r="EV2" s="36">
        <v>1</v>
      </c>
      <c r="EW2" s="36">
        <v>0</v>
      </c>
      <c r="EX2" s="36">
        <v>0</v>
      </c>
      <c r="EY2" s="36">
        <v>0</v>
      </c>
      <c r="EZ2" s="36">
        <v>1</v>
      </c>
      <c r="FA2" s="36">
        <v>0</v>
      </c>
      <c r="FB2" s="36">
        <v>0</v>
      </c>
      <c r="FC2" s="36">
        <v>0</v>
      </c>
      <c r="FD2" s="32">
        <f>SUM(EM2:FC2)</f>
        <v>2</v>
      </c>
      <c r="FE2" s="36">
        <v>7</v>
      </c>
      <c r="FF2" s="36">
        <v>4</v>
      </c>
      <c r="FG2" s="36">
        <v>0</v>
      </c>
      <c r="FH2" s="36">
        <f>8*(FE2*(FF2*60+FG2))</f>
        <v>13440</v>
      </c>
      <c r="FI2" s="36">
        <v>7</v>
      </c>
      <c r="FJ2" s="36">
        <v>2</v>
      </c>
      <c r="FK2" s="36">
        <v>0</v>
      </c>
      <c r="FL2" s="36">
        <f>4*(FI2*(FJ2*60+FK2))</f>
        <v>3360</v>
      </c>
      <c r="FM2" s="36">
        <v>7</v>
      </c>
      <c r="FN2" s="36">
        <v>8</v>
      </c>
      <c r="FO2" s="36">
        <v>0</v>
      </c>
      <c r="FP2" s="36">
        <f>3.3*(FM2*(FN2*60+FO2))</f>
        <v>11088</v>
      </c>
      <c r="FQ2" s="36">
        <v>3</v>
      </c>
      <c r="FR2" s="36">
        <v>0</v>
      </c>
      <c r="FS2" s="36">
        <f>1*(7*(FQ2*60+FR2))</f>
        <v>1260</v>
      </c>
      <c r="FT2" s="33">
        <f>FH2+FL2+FP2</f>
        <v>27888</v>
      </c>
      <c r="FU2" s="41" t="s">
        <v>398</v>
      </c>
      <c r="FV2" s="35" t="s">
        <v>399</v>
      </c>
      <c r="FW2" s="30" t="s">
        <v>400</v>
      </c>
      <c r="FX2" s="1" t="s">
        <v>401</v>
      </c>
      <c r="FY2" s="2" t="s">
        <v>247</v>
      </c>
      <c r="FZ2" s="2">
        <v>1303872</v>
      </c>
      <c r="GA2" s="2" t="s">
        <v>402</v>
      </c>
      <c r="GB2" s="2" t="s">
        <v>403</v>
      </c>
      <c r="GC2" s="2"/>
      <c r="GD2" s="36">
        <v>1</v>
      </c>
      <c r="GE2" s="36">
        <v>0</v>
      </c>
      <c r="GF2" s="36">
        <v>0</v>
      </c>
      <c r="GG2" s="36">
        <v>0</v>
      </c>
      <c r="GH2" s="36">
        <v>0</v>
      </c>
      <c r="GI2" s="36">
        <v>0</v>
      </c>
      <c r="GJ2" s="36">
        <v>1</v>
      </c>
      <c r="GK2" s="36">
        <v>2</v>
      </c>
      <c r="GL2" s="36">
        <v>0</v>
      </c>
      <c r="GM2" s="36">
        <v>0</v>
      </c>
      <c r="GN2" s="36">
        <v>0</v>
      </c>
      <c r="GO2" s="31">
        <f>SUM(GD2:GN2)</f>
        <v>4</v>
      </c>
      <c r="GP2" s="36">
        <v>0</v>
      </c>
      <c r="GQ2" s="36">
        <v>1</v>
      </c>
      <c r="GR2" s="36">
        <v>0</v>
      </c>
      <c r="GS2" s="36">
        <v>0</v>
      </c>
      <c r="GT2" s="36">
        <v>0</v>
      </c>
      <c r="GU2" s="36">
        <v>0</v>
      </c>
      <c r="GV2" s="36">
        <v>0</v>
      </c>
      <c r="GW2" s="36">
        <v>0</v>
      </c>
      <c r="GX2" s="36">
        <v>0</v>
      </c>
      <c r="GY2" s="36">
        <v>0</v>
      </c>
      <c r="GZ2" s="36">
        <v>0</v>
      </c>
      <c r="HA2" s="36">
        <v>0</v>
      </c>
      <c r="HB2" s="36">
        <v>0</v>
      </c>
      <c r="HC2" s="36">
        <v>0</v>
      </c>
      <c r="HD2" s="36">
        <v>0</v>
      </c>
      <c r="HE2" s="36">
        <v>0</v>
      </c>
      <c r="HF2" s="36">
        <v>0</v>
      </c>
      <c r="HG2" s="32">
        <f>SUM(GP2:HF2)</f>
        <v>1</v>
      </c>
      <c r="HK2" s="36">
        <f>8*(HH2*(HI2*60+HJ2))</f>
        <v>0</v>
      </c>
      <c r="HO2" s="36">
        <f>4*(HL2*(HM2*60+HN2))</f>
        <v>0</v>
      </c>
      <c r="HS2" s="36">
        <f>3.3*(HP2*(HQ2*60+HR2))</f>
        <v>0</v>
      </c>
      <c r="HV2" s="36">
        <f>1*(7*(HT2*60+HU2))</f>
        <v>0</v>
      </c>
      <c r="HW2" s="33">
        <f>HK2+HO2+HS2</f>
        <v>0</v>
      </c>
      <c r="HX2" s="41" t="s">
        <v>404</v>
      </c>
      <c r="HY2" s="35" t="s">
        <v>405</v>
      </c>
      <c r="HZ2" s="36" t="s">
        <v>239</v>
      </c>
      <c r="IA2" s="36" t="s">
        <v>239</v>
      </c>
    </row>
    <row r="3" spans="1:250" s="36" customFormat="1" ht="97.5" customHeight="1">
      <c r="A3" s="36" t="s">
        <v>231</v>
      </c>
      <c r="B3" s="38" t="s">
        <v>232</v>
      </c>
      <c r="C3" s="2" t="s">
        <v>406</v>
      </c>
      <c r="D3" s="37">
        <v>5123803</v>
      </c>
      <c r="E3" s="2" t="s">
        <v>407</v>
      </c>
      <c r="F3" s="2">
        <v>40</v>
      </c>
      <c r="G3" s="2" t="s">
        <v>235</v>
      </c>
      <c r="H3" s="2" t="s">
        <v>237</v>
      </c>
      <c r="I3" s="2" t="s">
        <v>408</v>
      </c>
      <c r="J3" s="2" t="s">
        <v>409</v>
      </c>
      <c r="K3" s="2" t="s">
        <v>410</v>
      </c>
      <c r="L3" s="37" t="s">
        <v>411</v>
      </c>
      <c r="M3" s="2" t="s">
        <v>239</v>
      </c>
      <c r="N3" s="38" t="s">
        <v>264</v>
      </c>
      <c r="O3" s="2" t="s">
        <v>412</v>
      </c>
      <c r="P3" s="2" t="s">
        <v>247</v>
      </c>
      <c r="Q3" s="2">
        <v>1311603</v>
      </c>
      <c r="R3" s="2" t="s">
        <v>413</v>
      </c>
      <c r="S3" s="2" t="s">
        <v>414</v>
      </c>
      <c r="T3" s="2"/>
      <c r="U3" s="2">
        <v>3</v>
      </c>
      <c r="V3" s="2">
        <v>2</v>
      </c>
      <c r="W3" s="2">
        <v>3</v>
      </c>
      <c r="X3" s="2">
        <v>3</v>
      </c>
      <c r="Y3" s="2">
        <v>4</v>
      </c>
      <c r="Z3" s="2">
        <v>4</v>
      </c>
      <c r="AA3" s="2">
        <v>1</v>
      </c>
      <c r="AB3" s="2">
        <v>4</v>
      </c>
      <c r="AC3" s="2">
        <v>2</v>
      </c>
      <c r="AD3" s="2">
        <v>2</v>
      </c>
      <c r="AE3" s="2">
        <v>1</v>
      </c>
      <c r="AF3" s="39">
        <f t="shared" ref="AF3:AF19" si="0">SUM(U3:AE3)</f>
        <v>29</v>
      </c>
      <c r="AG3" s="2">
        <v>0</v>
      </c>
      <c r="AH3" s="2">
        <v>0</v>
      </c>
      <c r="AI3" s="2">
        <v>0</v>
      </c>
      <c r="AJ3" s="2">
        <v>2</v>
      </c>
      <c r="AK3" s="2">
        <v>2</v>
      </c>
      <c r="AL3" s="2">
        <v>2</v>
      </c>
      <c r="AM3" s="2">
        <v>0</v>
      </c>
      <c r="AN3" s="2">
        <v>0</v>
      </c>
      <c r="AO3" s="2">
        <v>2</v>
      </c>
      <c r="AP3" s="2">
        <v>1</v>
      </c>
      <c r="AQ3" s="2">
        <v>1</v>
      </c>
      <c r="AR3" s="2">
        <v>0</v>
      </c>
      <c r="AS3" s="2">
        <v>0</v>
      </c>
      <c r="AT3" s="2">
        <v>0</v>
      </c>
      <c r="AU3" s="2">
        <v>0</v>
      </c>
      <c r="AV3" s="2">
        <v>0</v>
      </c>
      <c r="AW3" s="2">
        <v>1</v>
      </c>
      <c r="AX3" s="40">
        <f t="shared" ref="AX3:AX21" si="1">SUM(AG3:AW3)</f>
        <v>11</v>
      </c>
      <c r="AY3" s="36">
        <v>0</v>
      </c>
      <c r="AZ3" s="36">
        <v>0</v>
      </c>
      <c r="BA3" s="36">
        <v>0</v>
      </c>
      <c r="BB3" s="36">
        <f t="shared" ref="BB3:BB25" si="2">8*(AY3*(AZ3*60+BA3))</f>
        <v>0</v>
      </c>
      <c r="BC3" s="36">
        <v>0</v>
      </c>
      <c r="BD3" s="36">
        <v>0</v>
      </c>
      <c r="BE3" s="36">
        <v>0</v>
      </c>
      <c r="BF3" s="36">
        <f t="shared" ref="BF3:BF26" si="3">4*(BC3*(BD3*60+BE3))</f>
        <v>0</v>
      </c>
      <c r="BG3" s="36">
        <v>7</v>
      </c>
      <c r="BH3" s="36">
        <v>14</v>
      </c>
      <c r="BI3" s="36">
        <v>0</v>
      </c>
      <c r="BJ3" s="36">
        <f t="shared" ref="BJ3:BJ17" si="4">3.3*(BG3*(BH3*60+BI3))</f>
        <v>19404</v>
      </c>
      <c r="BK3" s="36">
        <v>5</v>
      </c>
      <c r="BL3" s="36">
        <v>0</v>
      </c>
      <c r="BM3" s="36">
        <f t="shared" ref="BM3:BM17" si="5">1*(7*(BK3*60+BL3))</f>
        <v>2100</v>
      </c>
      <c r="BN3" s="33">
        <f t="shared" ref="BN3:BN17" si="6">BB3+BF3+BJ3</f>
        <v>19404</v>
      </c>
      <c r="BO3" s="41" t="s">
        <v>415</v>
      </c>
      <c r="BP3" s="35" t="s">
        <v>416</v>
      </c>
      <c r="BQ3" s="38" t="s">
        <v>270</v>
      </c>
      <c r="BR3" s="2" t="s">
        <v>417</v>
      </c>
      <c r="BS3" s="2" t="s">
        <v>247</v>
      </c>
      <c r="BT3" s="2">
        <v>1313941</v>
      </c>
      <c r="BU3" s="2">
        <v>46</v>
      </c>
      <c r="BV3" s="2" t="s">
        <v>418</v>
      </c>
      <c r="BW3" s="2"/>
      <c r="BX3" s="36">
        <v>1</v>
      </c>
      <c r="BY3" s="36">
        <v>0</v>
      </c>
      <c r="BZ3" s="36">
        <v>1</v>
      </c>
      <c r="CA3" s="36">
        <v>1</v>
      </c>
      <c r="CB3" s="36">
        <v>2</v>
      </c>
      <c r="CC3" s="36">
        <v>2</v>
      </c>
      <c r="CD3" s="36">
        <v>0</v>
      </c>
      <c r="CE3" s="36">
        <v>2</v>
      </c>
      <c r="CF3" s="36">
        <v>0</v>
      </c>
      <c r="CG3" s="36">
        <v>0</v>
      </c>
      <c r="CH3" s="36">
        <v>1</v>
      </c>
      <c r="CI3" s="31">
        <f t="shared" ref="CI3:CI16" si="7">SUM(BX3:CH3)</f>
        <v>10</v>
      </c>
      <c r="CJ3" s="36">
        <v>0</v>
      </c>
      <c r="CK3" s="36">
        <v>0</v>
      </c>
      <c r="CL3" s="36">
        <v>0</v>
      </c>
      <c r="CM3" s="36">
        <v>0</v>
      </c>
      <c r="CN3" s="36">
        <v>0</v>
      </c>
      <c r="CO3" s="36">
        <v>0</v>
      </c>
      <c r="CP3" s="36">
        <v>0</v>
      </c>
      <c r="CQ3" s="36">
        <v>0</v>
      </c>
      <c r="CR3" s="36">
        <v>0</v>
      </c>
      <c r="CS3" s="36">
        <v>1</v>
      </c>
      <c r="CT3" s="36">
        <v>0</v>
      </c>
      <c r="CU3" s="36">
        <v>0</v>
      </c>
      <c r="CV3" s="36">
        <v>0</v>
      </c>
      <c r="CW3" s="36">
        <v>0</v>
      </c>
      <c r="CX3" s="36">
        <v>0</v>
      </c>
      <c r="CY3" s="36">
        <v>0</v>
      </c>
      <c r="CZ3" s="36">
        <v>1</v>
      </c>
      <c r="DA3" s="32">
        <f t="shared" ref="DA3:DA4" si="8">SUM(CJ3:CZ3)</f>
        <v>2</v>
      </c>
      <c r="DB3" s="36">
        <v>0</v>
      </c>
      <c r="DC3" s="36">
        <v>0</v>
      </c>
      <c r="DD3" s="36">
        <v>0</v>
      </c>
      <c r="DE3" s="36">
        <f t="shared" ref="DE3:DE4" si="9">8*(DB3*(DC3*60+DD3))</f>
        <v>0</v>
      </c>
      <c r="DF3" s="36">
        <v>0</v>
      </c>
      <c r="DG3" s="36">
        <v>0</v>
      </c>
      <c r="DH3" s="36">
        <v>0</v>
      </c>
      <c r="DI3" s="36">
        <f t="shared" ref="DI3:DI4" si="10">4*(DF3*(DG3*60+DH3))</f>
        <v>0</v>
      </c>
      <c r="DJ3" s="36">
        <v>7</v>
      </c>
      <c r="DK3" s="36">
        <v>5</v>
      </c>
      <c r="DL3" s="36">
        <v>0</v>
      </c>
      <c r="DM3" s="36">
        <f t="shared" ref="DM3:DM4" si="11">3.3*(DJ3*(DK3*60+DL3))</f>
        <v>6930</v>
      </c>
      <c r="DN3" s="36">
        <v>6</v>
      </c>
      <c r="DO3" s="36">
        <v>0</v>
      </c>
      <c r="DP3" s="36">
        <f t="shared" ref="DP3:DP4" si="12">1*(7*(DN3*60+DO3))</f>
        <v>2520</v>
      </c>
      <c r="DQ3" s="33">
        <f t="shared" ref="DQ3:DQ4" si="13">DE3+DI3+DM3</f>
        <v>6930</v>
      </c>
      <c r="DR3" s="41" t="s">
        <v>419</v>
      </c>
      <c r="DS3" s="35" t="s">
        <v>419</v>
      </c>
      <c r="DT3" s="30" t="s">
        <v>275</v>
      </c>
      <c r="DU3" s="36" t="s">
        <v>420</v>
      </c>
      <c r="DV3" s="36" t="s">
        <v>247</v>
      </c>
      <c r="DW3" s="2" t="s">
        <v>421</v>
      </c>
      <c r="DX3" s="2" t="s">
        <v>422</v>
      </c>
      <c r="DY3" s="2" t="s">
        <v>423</v>
      </c>
      <c r="DZ3" s="2"/>
      <c r="EA3" s="36">
        <v>1</v>
      </c>
      <c r="EB3" s="36">
        <v>0</v>
      </c>
      <c r="EC3" s="36">
        <v>0</v>
      </c>
      <c r="ED3" s="36">
        <v>0</v>
      </c>
      <c r="EE3" s="36">
        <v>0</v>
      </c>
      <c r="EF3" s="36">
        <v>0</v>
      </c>
      <c r="EG3" s="36">
        <v>0</v>
      </c>
      <c r="EH3" s="36">
        <v>2</v>
      </c>
      <c r="EI3" s="36">
        <v>0</v>
      </c>
      <c r="EJ3" s="36">
        <v>0</v>
      </c>
      <c r="EK3" s="36">
        <v>0</v>
      </c>
      <c r="EL3" s="31">
        <f t="shared" ref="EL3:EL4" si="14">SUM(EA3:EK3)</f>
        <v>3</v>
      </c>
      <c r="EM3" s="36">
        <v>0</v>
      </c>
      <c r="EN3" s="36">
        <v>0</v>
      </c>
      <c r="EO3" s="36">
        <v>0</v>
      </c>
      <c r="EP3" s="36">
        <v>0</v>
      </c>
      <c r="EQ3" s="36">
        <v>0</v>
      </c>
      <c r="ER3" s="36">
        <v>0</v>
      </c>
      <c r="ES3" s="36">
        <v>0</v>
      </c>
      <c r="ET3" s="36">
        <v>0</v>
      </c>
      <c r="EU3" s="36">
        <v>0</v>
      </c>
      <c r="EV3" s="36">
        <v>0</v>
      </c>
      <c r="EW3" s="36">
        <v>0</v>
      </c>
      <c r="EX3" s="36">
        <v>0</v>
      </c>
      <c r="EY3" s="36">
        <v>0</v>
      </c>
      <c r="EZ3" s="36">
        <v>0</v>
      </c>
      <c r="FA3" s="36">
        <v>0</v>
      </c>
      <c r="FB3" s="36">
        <v>0</v>
      </c>
      <c r="FC3" s="36">
        <v>1</v>
      </c>
      <c r="FD3" s="32">
        <f t="shared" ref="FD3:FD4" si="15">SUM(EM3:FC3)</f>
        <v>1</v>
      </c>
      <c r="FE3" s="36">
        <v>0</v>
      </c>
      <c r="FF3" s="36">
        <v>0</v>
      </c>
      <c r="FG3" s="36">
        <v>0</v>
      </c>
      <c r="FH3" s="36">
        <f t="shared" ref="FH3:FH4" si="16">8*(FE3*(FF3*60+FG3))</f>
        <v>0</v>
      </c>
      <c r="FI3" s="36">
        <v>0</v>
      </c>
      <c r="FJ3" s="36">
        <v>0</v>
      </c>
      <c r="FK3" s="36">
        <v>0</v>
      </c>
      <c r="FL3" s="36">
        <f t="shared" ref="FL3:FL4" si="17">4*(FI3*(FJ3*60+FK3))</f>
        <v>0</v>
      </c>
      <c r="FM3" s="36">
        <v>7</v>
      </c>
      <c r="FN3" s="36">
        <v>1</v>
      </c>
      <c r="FO3" s="36">
        <v>0</v>
      </c>
      <c r="FP3" s="36">
        <f t="shared" ref="FP3:FP4" si="18">3.3*(FM3*(FN3*60+FO3))</f>
        <v>1386</v>
      </c>
      <c r="FQ3" s="36">
        <v>10</v>
      </c>
      <c r="FR3" s="36">
        <v>0</v>
      </c>
      <c r="FS3" s="36">
        <f t="shared" ref="FS3:FS4" si="19">1*(7*(FQ3*60+FR3))</f>
        <v>4200</v>
      </c>
      <c r="FT3" s="33">
        <f t="shared" ref="FT3:FT4" si="20">FH3+FL3+FP3</f>
        <v>1386</v>
      </c>
      <c r="FU3" s="41" t="s">
        <v>279</v>
      </c>
      <c r="FV3" s="35" t="s">
        <v>424</v>
      </c>
      <c r="FW3" s="30" t="s">
        <v>425</v>
      </c>
      <c r="FX3" s="36" t="s">
        <v>426</v>
      </c>
      <c r="FY3" s="2" t="s">
        <v>242</v>
      </c>
      <c r="FZ3" s="2">
        <v>1408805</v>
      </c>
      <c r="GA3" s="2">
        <v>43</v>
      </c>
      <c r="GB3" s="54" t="s">
        <v>427</v>
      </c>
      <c r="GC3" s="54"/>
      <c r="GD3" s="36">
        <v>0</v>
      </c>
      <c r="GE3" s="36">
        <v>0</v>
      </c>
      <c r="GF3" s="36">
        <v>0</v>
      </c>
      <c r="GG3" s="36">
        <v>0</v>
      </c>
      <c r="GH3" s="36">
        <v>0</v>
      </c>
      <c r="GI3" s="36">
        <v>0</v>
      </c>
      <c r="GJ3" s="36">
        <v>0</v>
      </c>
      <c r="GK3" s="36">
        <v>0</v>
      </c>
      <c r="GL3" s="36">
        <v>0</v>
      </c>
      <c r="GM3" s="36">
        <v>0</v>
      </c>
      <c r="GN3" s="36">
        <v>0</v>
      </c>
      <c r="GO3" s="31">
        <f t="shared" ref="GO3:GO5" si="21">SUM(GD3:GN3)</f>
        <v>0</v>
      </c>
      <c r="GP3" s="36">
        <v>0</v>
      </c>
      <c r="GQ3" s="36">
        <v>0</v>
      </c>
      <c r="GR3" s="36">
        <v>0</v>
      </c>
      <c r="GS3" s="36">
        <v>0</v>
      </c>
      <c r="GT3" s="36">
        <v>0</v>
      </c>
      <c r="GU3" s="36">
        <v>0</v>
      </c>
      <c r="GV3" s="36">
        <v>0</v>
      </c>
      <c r="GW3" s="36">
        <v>1</v>
      </c>
      <c r="GX3" s="36">
        <v>0</v>
      </c>
      <c r="GY3" s="36">
        <v>2</v>
      </c>
      <c r="GZ3" s="36">
        <v>0</v>
      </c>
      <c r="HA3" s="36">
        <v>0</v>
      </c>
      <c r="HB3" s="36">
        <v>0</v>
      </c>
      <c r="HC3" s="36">
        <v>0</v>
      </c>
      <c r="HD3" s="36">
        <v>0</v>
      </c>
      <c r="HE3" s="36">
        <v>0</v>
      </c>
      <c r="HF3" s="36">
        <v>0</v>
      </c>
      <c r="HG3" s="32">
        <f t="shared" ref="HG3:HG6" si="22">SUM(GP3:HF3)</f>
        <v>3</v>
      </c>
      <c r="HH3" s="36">
        <v>0</v>
      </c>
      <c r="HI3" s="36">
        <v>0</v>
      </c>
      <c r="HJ3" s="36">
        <v>0</v>
      </c>
      <c r="HK3" s="36">
        <f t="shared" ref="HK3:HK6" si="23">8*(HH3*(HI3*60+HJ3))</f>
        <v>0</v>
      </c>
      <c r="HL3" s="36">
        <v>5</v>
      </c>
      <c r="HM3" s="36">
        <v>5</v>
      </c>
      <c r="HN3" s="36">
        <v>0</v>
      </c>
      <c r="HO3" s="36">
        <f t="shared" ref="HO3:HO6" si="24">4*(HL3*(HM3*60+HN3))</f>
        <v>6000</v>
      </c>
      <c r="HP3" s="36">
        <v>7</v>
      </c>
      <c r="HQ3" s="36">
        <v>1</v>
      </c>
      <c r="HR3" s="36">
        <v>0</v>
      </c>
      <c r="HS3" s="36">
        <f t="shared" ref="HS3:HS6" si="25">3.3*(HP3*(HQ3*60+HR3))</f>
        <v>1386</v>
      </c>
      <c r="HT3" s="36">
        <v>8</v>
      </c>
      <c r="HU3" s="36">
        <v>0</v>
      </c>
      <c r="HV3" s="36">
        <f t="shared" ref="HV3:HV6" si="26">1*(7*(HT3*60+HU3))</f>
        <v>3360</v>
      </c>
      <c r="HW3" s="33">
        <f t="shared" ref="HW3:HW6" si="27">HK3+HO3+HS3</f>
        <v>7386</v>
      </c>
      <c r="HX3" s="41" t="s">
        <v>428</v>
      </c>
      <c r="HY3" s="35" t="s">
        <v>429</v>
      </c>
      <c r="HZ3" s="36" t="s">
        <v>239</v>
      </c>
      <c r="IA3" s="36" t="s">
        <v>239</v>
      </c>
    </row>
    <row r="4" spans="1:250" s="48" customFormat="1" ht="97.5" customHeight="1">
      <c r="A4" s="36" t="s">
        <v>231</v>
      </c>
      <c r="B4" s="38" t="s">
        <v>232</v>
      </c>
      <c r="C4" s="2" t="s">
        <v>430</v>
      </c>
      <c r="D4" s="37">
        <v>5421437</v>
      </c>
      <c r="E4" s="2" t="s">
        <v>431</v>
      </c>
      <c r="F4" s="36">
        <v>22</v>
      </c>
      <c r="G4" s="2" t="s">
        <v>235</v>
      </c>
      <c r="H4" s="2" t="s">
        <v>432</v>
      </c>
      <c r="I4" s="2" t="s">
        <v>287</v>
      </c>
      <c r="J4" s="2" t="s">
        <v>433</v>
      </c>
      <c r="K4" s="2" t="s">
        <v>434</v>
      </c>
      <c r="L4" s="37" t="s">
        <v>388</v>
      </c>
      <c r="M4" s="2" t="s">
        <v>239</v>
      </c>
      <c r="N4" s="38" t="s">
        <v>435</v>
      </c>
      <c r="O4" s="2" t="s">
        <v>436</v>
      </c>
      <c r="P4" s="2" t="s">
        <v>247</v>
      </c>
      <c r="Q4" s="2">
        <v>1323479</v>
      </c>
      <c r="R4" s="2">
        <v>44</v>
      </c>
      <c r="S4" s="2" t="s">
        <v>437</v>
      </c>
      <c r="T4" s="2"/>
      <c r="U4" s="36">
        <v>2</v>
      </c>
      <c r="V4" s="36">
        <v>3</v>
      </c>
      <c r="W4" s="36">
        <v>3</v>
      </c>
      <c r="X4" s="36">
        <v>3</v>
      </c>
      <c r="Y4" s="36">
        <v>0</v>
      </c>
      <c r="Z4" s="36">
        <v>4</v>
      </c>
      <c r="AA4" s="36">
        <v>2</v>
      </c>
      <c r="AB4" s="36">
        <v>8</v>
      </c>
      <c r="AC4" s="36">
        <v>2</v>
      </c>
      <c r="AD4" s="36">
        <v>0</v>
      </c>
      <c r="AE4" s="36">
        <v>1</v>
      </c>
      <c r="AF4" s="39">
        <f t="shared" si="0"/>
        <v>28</v>
      </c>
      <c r="AG4" s="36">
        <v>0</v>
      </c>
      <c r="AH4" s="36">
        <v>0</v>
      </c>
      <c r="AI4" s="36">
        <v>0</v>
      </c>
      <c r="AJ4" s="36">
        <v>2</v>
      </c>
      <c r="AK4" s="36">
        <v>1</v>
      </c>
      <c r="AL4" s="36">
        <v>0</v>
      </c>
      <c r="AM4" s="36">
        <v>0</v>
      </c>
      <c r="AN4" s="36">
        <v>0</v>
      </c>
      <c r="AO4" s="36">
        <v>0</v>
      </c>
      <c r="AP4" s="36">
        <v>1</v>
      </c>
      <c r="AQ4" s="36">
        <v>0</v>
      </c>
      <c r="AR4" s="36">
        <v>0</v>
      </c>
      <c r="AS4" s="36">
        <v>0</v>
      </c>
      <c r="AT4" s="36">
        <v>0</v>
      </c>
      <c r="AU4" s="36">
        <v>0</v>
      </c>
      <c r="AV4" s="36">
        <v>0</v>
      </c>
      <c r="AW4" s="36">
        <v>1</v>
      </c>
      <c r="AX4" s="40">
        <f t="shared" si="1"/>
        <v>5</v>
      </c>
      <c r="AY4" s="36">
        <v>7</v>
      </c>
      <c r="AZ4" s="36">
        <v>2</v>
      </c>
      <c r="BA4" s="36">
        <v>0</v>
      </c>
      <c r="BB4" s="36">
        <f t="shared" si="2"/>
        <v>6720</v>
      </c>
      <c r="BC4" s="36">
        <v>7</v>
      </c>
      <c r="BD4" s="36">
        <v>4</v>
      </c>
      <c r="BE4" s="36">
        <v>0</v>
      </c>
      <c r="BF4" s="36">
        <f t="shared" si="3"/>
        <v>6720</v>
      </c>
      <c r="BG4" s="36">
        <v>7</v>
      </c>
      <c r="BH4" s="36">
        <v>1</v>
      </c>
      <c r="BI4" s="36">
        <v>0</v>
      </c>
      <c r="BJ4" s="36">
        <f t="shared" si="4"/>
        <v>1386</v>
      </c>
      <c r="BK4" s="36">
        <v>8</v>
      </c>
      <c r="BL4" s="36">
        <v>0</v>
      </c>
      <c r="BM4" s="36">
        <f t="shared" si="5"/>
        <v>3360</v>
      </c>
      <c r="BN4" s="33">
        <f t="shared" si="6"/>
        <v>14826</v>
      </c>
      <c r="BO4" s="41" t="s">
        <v>438</v>
      </c>
      <c r="BP4" s="35" t="s">
        <v>439</v>
      </c>
      <c r="BQ4" s="38" t="s">
        <v>440</v>
      </c>
      <c r="BR4" s="2" t="s">
        <v>441</v>
      </c>
      <c r="BS4" s="2" t="s">
        <v>247</v>
      </c>
      <c r="BT4" s="2">
        <v>1327124</v>
      </c>
      <c r="BU4" s="2">
        <v>45</v>
      </c>
      <c r="BV4" s="2" t="s">
        <v>442</v>
      </c>
      <c r="BW4" s="2"/>
      <c r="BX4" s="36">
        <v>3</v>
      </c>
      <c r="BY4" s="36">
        <v>2</v>
      </c>
      <c r="BZ4" s="36">
        <v>3</v>
      </c>
      <c r="CA4" s="36">
        <v>1</v>
      </c>
      <c r="CB4" s="36">
        <v>0</v>
      </c>
      <c r="CC4" s="36">
        <v>4</v>
      </c>
      <c r="CD4" s="36">
        <v>1</v>
      </c>
      <c r="CE4" s="36">
        <v>4</v>
      </c>
      <c r="CF4" s="36">
        <v>0</v>
      </c>
      <c r="CG4" s="36">
        <v>0</v>
      </c>
      <c r="CH4" s="36">
        <v>1</v>
      </c>
      <c r="CI4" s="31">
        <f t="shared" si="7"/>
        <v>19</v>
      </c>
      <c r="CJ4" s="36">
        <v>0</v>
      </c>
      <c r="CK4" s="36">
        <v>0</v>
      </c>
      <c r="CL4" s="36">
        <v>0</v>
      </c>
      <c r="CM4" s="36">
        <v>1</v>
      </c>
      <c r="CN4" s="36">
        <v>0</v>
      </c>
      <c r="CO4" s="36">
        <v>0</v>
      </c>
      <c r="CP4" s="36">
        <v>0</v>
      </c>
      <c r="CQ4" s="36">
        <v>0</v>
      </c>
      <c r="CR4" s="36">
        <v>0</v>
      </c>
      <c r="CS4" s="36">
        <v>0</v>
      </c>
      <c r="CT4" s="36">
        <v>0</v>
      </c>
      <c r="CU4" s="36">
        <v>0</v>
      </c>
      <c r="CV4" s="36">
        <v>0</v>
      </c>
      <c r="CW4" s="36">
        <v>0</v>
      </c>
      <c r="CX4" s="36">
        <v>0</v>
      </c>
      <c r="CY4" s="36">
        <v>0</v>
      </c>
      <c r="CZ4" s="36">
        <v>1</v>
      </c>
      <c r="DA4" s="32">
        <f t="shared" si="8"/>
        <v>2</v>
      </c>
      <c r="DB4" s="36">
        <v>0</v>
      </c>
      <c r="DC4" s="36">
        <v>0</v>
      </c>
      <c r="DD4" s="36">
        <v>0</v>
      </c>
      <c r="DE4" s="36">
        <f t="shared" si="9"/>
        <v>0</v>
      </c>
      <c r="DF4" s="36">
        <v>7</v>
      </c>
      <c r="DG4" s="36">
        <v>2</v>
      </c>
      <c r="DH4" s="36">
        <v>0</v>
      </c>
      <c r="DI4" s="36">
        <f t="shared" si="10"/>
        <v>3360</v>
      </c>
      <c r="DJ4" s="36">
        <v>7</v>
      </c>
      <c r="DK4" s="36">
        <v>1</v>
      </c>
      <c r="DL4" s="36">
        <v>0</v>
      </c>
      <c r="DM4" s="36">
        <f t="shared" si="11"/>
        <v>1386</v>
      </c>
      <c r="DN4" s="36">
        <v>10</v>
      </c>
      <c r="DO4" s="36">
        <v>0</v>
      </c>
      <c r="DP4" s="36">
        <f t="shared" si="12"/>
        <v>4200</v>
      </c>
      <c r="DQ4" s="33">
        <f t="shared" si="13"/>
        <v>4746</v>
      </c>
      <c r="DR4" s="41" t="s">
        <v>443</v>
      </c>
      <c r="DS4" s="35" t="s">
        <v>444</v>
      </c>
      <c r="DT4" s="38" t="s">
        <v>445</v>
      </c>
      <c r="DU4" s="2" t="s">
        <v>446</v>
      </c>
      <c r="DV4" s="36" t="s">
        <v>242</v>
      </c>
      <c r="DW4" s="2">
        <v>1340768</v>
      </c>
      <c r="DX4" s="2">
        <v>40</v>
      </c>
      <c r="DY4" s="2" t="s">
        <v>447</v>
      </c>
      <c r="DZ4" s="2"/>
      <c r="EA4" s="36">
        <v>2</v>
      </c>
      <c r="EB4" s="36">
        <v>1</v>
      </c>
      <c r="EC4" s="36">
        <v>2</v>
      </c>
      <c r="ED4" s="36">
        <v>0</v>
      </c>
      <c r="EE4" s="36">
        <v>0</v>
      </c>
      <c r="EF4" s="36">
        <v>2</v>
      </c>
      <c r="EG4" s="36">
        <v>0</v>
      </c>
      <c r="EH4" s="36">
        <v>2</v>
      </c>
      <c r="EI4" s="36">
        <v>0</v>
      </c>
      <c r="EJ4" s="36">
        <v>0</v>
      </c>
      <c r="EK4" s="36">
        <v>1</v>
      </c>
      <c r="EL4" s="31">
        <f t="shared" si="14"/>
        <v>10</v>
      </c>
      <c r="EM4" s="36">
        <v>0</v>
      </c>
      <c r="EN4" s="36">
        <v>0</v>
      </c>
      <c r="EO4" s="36">
        <v>0</v>
      </c>
      <c r="EP4" s="36">
        <v>0</v>
      </c>
      <c r="EQ4" s="36">
        <v>0</v>
      </c>
      <c r="ER4" s="36">
        <v>0</v>
      </c>
      <c r="ES4" s="36">
        <v>0</v>
      </c>
      <c r="ET4" s="36">
        <v>0</v>
      </c>
      <c r="EU4" s="36">
        <v>0</v>
      </c>
      <c r="EV4" s="36">
        <v>0</v>
      </c>
      <c r="EW4" s="36">
        <v>0</v>
      </c>
      <c r="EX4" s="36">
        <v>0</v>
      </c>
      <c r="EY4" s="36">
        <v>0</v>
      </c>
      <c r="EZ4" s="36">
        <v>0</v>
      </c>
      <c r="FA4" s="36">
        <v>0</v>
      </c>
      <c r="FB4" s="36">
        <v>0</v>
      </c>
      <c r="FC4" s="36">
        <v>1</v>
      </c>
      <c r="FD4" s="32">
        <f t="shared" si="15"/>
        <v>1</v>
      </c>
      <c r="FE4" s="36">
        <v>5</v>
      </c>
      <c r="FF4" s="36">
        <v>1</v>
      </c>
      <c r="FG4" s="36">
        <v>30</v>
      </c>
      <c r="FH4" s="36">
        <f t="shared" si="16"/>
        <v>3600</v>
      </c>
      <c r="FI4" s="36">
        <v>0</v>
      </c>
      <c r="FJ4" s="36">
        <v>0</v>
      </c>
      <c r="FK4" s="36">
        <v>0</v>
      </c>
      <c r="FL4" s="36">
        <f t="shared" si="17"/>
        <v>0</v>
      </c>
      <c r="FM4" s="36">
        <v>7</v>
      </c>
      <c r="FN4" s="36">
        <v>0</v>
      </c>
      <c r="FO4" s="36">
        <v>30</v>
      </c>
      <c r="FP4" s="36">
        <f t="shared" si="18"/>
        <v>693</v>
      </c>
      <c r="FQ4" s="36">
        <v>5</v>
      </c>
      <c r="FR4" s="36">
        <v>0</v>
      </c>
      <c r="FS4" s="36">
        <f t="shared" si="19"/>
        <v>2100</v>
      </c>
      <c r="FT4" s="33">
        <f t="shared" si="20"/>
        <v>4293</v>
      </c>
      <c r="FU4" s="41" t="s">
        <v>448</v>
      </c>
      <c r="FV4" s="35" t="s">
        <v>448</v>
      </c>
      <c r="FW4" s="49" t="s">
        <v>449</v>
      </c>
      <c r="FX4" s="48" t="s">
        <v>450</v>
      </c>
      <c r="FY4" s="28" t="s">
        <v>247</v>
      </c>
      <c r="FZ4" s="36">
        <v>1425524</v>
      </c>
      <c r="GA4" s="36">
        <v>44</v>
      </c>
      <c r="GB4" s="2" t="s">
        <v>451</v>
      </c>
      <c r="GC4" s="2"/>
      <c r="GD4" s="36">
        <v>0</v>
      </c>
      <c r="GE4" s="36">
        <v>0</v>
      </c>
      <c r="GF4" s="36">
        <v>0</v>
      </c>
      <c r="GG4" s="36">
        <v>0</v>
      </c>
      <c r="GH4" s="36">
        <v>0</v>
      </c>
      <c r="GI4" s="36">
        <v>0</v>
      </c>
      <c r="GJ4" s="36">
        <v>0</v>
      </c>
      <c r="GK4" s="36">
        <v>0</v>
      </c>
      <c r="GL4" s="36">
        <v>0</v>
      </c>
      <c r="GM4" s="36">
        <v>0</v>
      </c>
      <c r="GN4" s="36">
        <v>1</v>
      </c>
      <c r="GO4" s="31">
        <f t="shared" si="21"/>
        <v>1</v>
      </c>
      <c r="GP4" s="36">
        <v>0</v>
      </c>
      <c r="GQ4" s="36">
        <v>0</v>
      </c>
      <c r="GR4" s="36">
        <v>0</v>
      </c>
      <c r="GS4" s="36">
        <v>0</v>
      </c>
      <c r="GT4" s="36">
        <v>0</v>
      </c>
      <c r="GU4" s="36">
        <v>0</v>
      </c>
      <c r="GV4" s="36">
        <v>2</v>
      </c>
      <c r="GW4" s="36">
        <v>1</v>
      </c>
      <c r="GX4" s="36">
        <v>0</v>
      </c>
      <c r="GY4" s="36">
        <v>0</v>
      </c>
      <c r="GZ4" s="36">
        <v>0</v>
      </c>
      <c r="HA4" s="36">
        <v>0</v>
      </c>
      <c r="HB4" s="36">
        <v>0</v>
      </c>
      <c r="HC4" s="36">
        <v>1</v>
      </c>
      <c r="HD4" s="36">
        <v>0</v>
      </c>
      <c r="HE4" s="36">
        <v>0</v>
      </c>
      <c r="HF4" s="36">
        <v>0</v>
      </c>
      <c r="HG4" s="32">
        <f t="shared" si="22"/>
        <v>4</v>
      </c>
      <c r="HH4" s="36">
        <v>0</v>
      </c>
      <c r="HI4" s="36">
        <v>0</v>
      </c>
      <c r="HJ4" s="36">
        <v>0</v>
      </c>
      <c r="HK4" s="36">
        <f t="shared" si="23"/>
        <v>0</v>
      </c>
      <c r="HL4" s="36">
        <v>2</v>
      </c>
      <c r="HM4" s="36">
        <v>1</v>
      </c>
      <c r="HN4" s="36">
        <v>0</v>
      </c>
      <c r="HO4" s="36">
        <f t="shared" si="24"/>
        <v>480</v>
      </c>
      <c r="HP4" s="36">
        <v>4</v>
      </c>
      <c r="HQ4" s="36">
        <v>0</v>
      </c>
      <c r="HR4" s="36">
        <v>40</v>
      </c>
      <c r="HS4" s="36">
        <f t="shared" si="25"/>
        <v>528</v>
      </c>
      <c r="HT4" s="36">
        <v>5</v>
      </c>
      <c r="HU4" s="36">
        <v>0</v>
      </c>
      <c r="HV4" s="36">
        <f t="shared" si="26"/>
        <v>2100</v>
      </c>
      <c r="HW4" s="33">
        <f t="shared" si="27"/>
        <v>1008</v>
      </c>
      <c r="HX4" s="33"/>
      <c r="HY4" s="35" t="s">
        <v>452</v>
      </c>
      <c r="HZ4" s="2" t="s">
        <v>239</v>
      </c>
      <c r="IA4" s="36" t="s">
        <v>239</v>
      </c>
      <c r="IB4" s="36"/>
      <c r="IC4" s="36"/>
      <c r="ID4" s="36"/>
      <c r="IE4" s="36"/>
      <c r="IF4" s="36"/>
      <c r="IG4" s="36"/>
      <c r="IH4" s="36"/>
      <c r="II4" s="36"/>
      <c r="IJ4" s="36"/>
      <c r="IK4" s="36"/>
      <c r="IL4" s="36"/>
      <c r="IM4" s="36"/>
      <c r="IN4" s="36"/>
      <c r="IO4" s="36"/>
      <c r="IP4" s="36"/>
    </row>
    <row r="5" spans="1:250" s="48" customFormat="1" ht="97.5" customHeight="1">
      <c r="A5" s="36" t="s">
        <v>453</v>
      </c>
      <c r="B5" s="30" t="s">
        <v>454</v>
      </c>
      <c r="C5" s="2" t="s">
        <v>455</v>
      </c>
      <c r="D5" s="37">
        <v>5088898</v>
      </c>
      <c r="E5" s="36" t="s">
        <v>456</v>
      </c>
      <c r="F5" s="36">
        <v>25</v>
      </c>
      <c r="G5" s="36" t="s">
        <v>300</v>
      </c>
      <c r="H5" s="36" t="s">
        <v>237</v>
      </c>
      <c r="I5" s="36" t="s">
        <v>237</v>
      </c>
      <c r="J5" s="36" t="s">
        <v>457</v>
      </c>
      <c r="K5" s="2" t="s">
        <v>458</v>
      </c>
      <c r="L5" s="129" t="s">
        <v>459</v>
      </c>
      <c r="M5" s="54" t="s">
        <v>239</v>
      </c>
      <c r="N5" s="49" t="s">
        <v>460</v>
      </c>
      <c r="O5" s="52">
        <v>0.5</v>
      </c>
      <c r="P5" s="54" t="s">
        <v>247</v>
      </c>
      <c r="Q5" s="28">
        <v>1404177</v>
      </c>
      <c r="R5" s="36">
        <v>48</v>
      </c>
      <c r="S5" s="2" t="s">
        <v>461</v>
      </c>
      <c r="T5" s="2"/>
      <c r="U5" s="36">
        <v>1</v>
      </c>
      <c r="V5" s="36">
        <v>3</v>
      </c>
      <c r="W5" s="36">
        <v>0</v>
      </c>
      <c r="X5" s="36">
        <v>1</v>
      </c>
      <c r="Y5" s="36">
        <v>0</v>
      </c>
      <c r="Z5" s="36">
        <v>4</v>
      </c>
      <c r="AA5" s="36">
        <v>2</v>
      </c>
      <c r="AB5" s="36">
        <v>2</v>
      </c>
      <c r="AC5" s="36">
        <v>0</v>
      </c>
      <c r="AD5" s="36">
        <v>0</v>
      </c>
      <c r="AE5" s="36">
        <v>3</v>
      </c>
      <c r="AF5" s="39">
        <f t="shared" si="0"/>
        <v>16</v>
      </c>
      <c r="AG5" s="36">
        <v>0</v>
      </c>
      <c r="AH5" s="36">
        <v>0</v>
      </c>
      <c r="AI5" s="36">
        <v>0</v>
      </c>
      <c r="AJ5" s="36">
        <v>1</v>
      </c>
      <c r="AK5" s="36">
        <v>0</v>
      </c>
      <c r="AL5" s="36">
        <v>0</v>
      </c>
      <c r="AM5" s="36">
        <v>0</v>
      </c>
      <c r="AN5" s="36">
        <v>0</v>
      </c>
      <c r="AO5" s="36">
        <v>2</v>
      </c>
      <c r="AP5" s="36">
        <v>0</v>
      </c>
      <c r="AQ5" s="36">
        <v>0</v>
      </c>
      <c r="AR5" s="36">
        <v>0</v>
      </c>
      <c r="AS5" s="36">
        <v>0</v>
      </c>
      <c r="AT5" s="36">
        <v>0</v>
      </c>
      <c r="AU5" s="36">
        <v>0</v>
      </c>
      <c r="AV5" s="36">
        <v>0</v>
      </c>
      <c r="AW5" s="36">
        <v>1</v>
      </c>
      <c r="AX5" s="40">
        <f t="shared" si="1"/>
        <v>4</v>
      </c>
      <c r="AY5" s="36">
        <v>0</v>
      </c>
      <c r="AZ5" s="36">
        <v>0</v>
      </c>
      <c r="BA5" s="36">
        <v>0</v>
      </c>
      <c r="BB5" s="36">
        <f t="shared" si="2"/>
        <v>0</v>
      </c>
      <c r="BC5" s="36">
        <v>0</v>
      </c>
      <c r="BD5" s="36">
        <v>0</v>
      </c>
      <c r="BE5" s="36">
        <v>0</v>
      </c>
      <c r="BF5" s="36">
        <f t="shared" si="3"/>
        <v>0</v>
      </c>
      <c r="BG5" s="36">
        <v>7</v>
      </c>
      <c r="BH5" s="36">
        <v>4</v>
      </c>
      <c r="BI5" s="36">
        <v>0</v>
      </c>
      <c r="BJ5" s="36">
        <f t="shared" si="4"/>
        <v>5544</v>
      </c>
      <c r="BK5" s="36">
        <v>6</v>
      </c>
      <c r="BL5" s="36">
        <v>0</v>
      </c>
      <c r="BM5" s="36">
        <f t="shared" si="5"/>
        <v>2520</v>
      </c>
      <c r="BN5" s="33">
        <f t="shared" si="6"/>
        <v>5544</v>
      </c>
      <c r="BO5" s="33"/>
      <c r="BP5" s="34"/>
      <c r="BQ5" s="30" t="s">
        <v>462</v>
      </c>
      <c r="BR5" s="52">
        <v>0.45833333333333331</v>
      </c>
      <c r="BS5" s="28" t="s">
        <v>242</v>
      </c>
      <c r="BT5" s="2">
        <v>1410823</v>
      </c>
      <c r="BU5" s="2">
        <v>40</v>
      </c>
      <c r="BV5" s="2" t="s">
        <v>463</v>
      </c>
      <c r="BW5" s="2"/>
      <c r="BX5" s="36">
        <v>2</v>
      </c>
      <c r="BY5" s="36">
        <v>0</v>
      </c>
      <c r="BZ5" s="36">
        <v>0</v>
      </c>
      <c r="CA5" s="36">
        <v>0</v>
      </c>
      <c r="CB5" s="36">
        <v>2</v>
      </c>
      <c r="CC5" s="36">
        <v>2</v>
      </c>
      <c r="CD5" s="36">
        <v>0</v>
      </c>
      <c r="CE5" s="36">
        <v>0</v>
      </c>
      <c r="CF5" s="36">
        <v>0</v>
      </c>
      <c r="CG5" s="36">
        <v>0</v>
      </c>
      <c r="CH5" s="36">
        <v>0</v>
      </c>
      <c r="CI5" s="31">
        <f t="shared" si="7"/>
        <v>6</v>
      </c>
      <c r="CJ5" s="36">
        <v>0</v>
      </c>
      <c r="CK5" s="36">
        <v>0</v>
      </c>
      <c r="CL5" s="36">
        <v>0</v>
      </c>
      <c r="CM5" s="36">
        <v>0</v>
      </c>
      <c r="CN5" s="36">
        <v>0</v>
      </c>
      <c r="CO5" s="36">
        <v>0</v>
      </c>
      <c r="CP5" s="36">
        <v>0</v>
      </c>
      <c r="CQ5" s="36">
        <v>0</v>
      </c>
      <c r="CR5" s="36">
        <v>0</v>
      </c>
      <c r="CS5" s="36">
        <v>0</v>
      </c>
      <c r="CT5" s="36">
        <v>0</v>
      </c>
      <c r="CU5" s="36">
        <v>0</v>
      </c>
      <c r="CV5" s="36">
        <v>0</v>
      </c>
      <c r="CW5" s="36">
        <v>0</v>
      </c>
      <c r="CX5" s="36">
        <v>0</v>
      </c>
      <c r="CY5" s="36">
        <v>0</v>
      </c>
      <c r="CZ5" s="36">
        <v>0</v>
      </c>
      <c r="DA5" s="32">
        <f>SUM(CJ5:CZ5)</f>
        <v>0</v>
      </c>
      <c r="DB5" s="36">
        <v>0</v>
      </c>
      <c r="DC5" s="36">
        <v>0</v>
      </c>
      <c r="DD5" s="36">
        <v>0</v>
      </c>
      <c r="DE5" s="36">
        <f>8*(DB5*(DC5*60+DD5))</f>
        <v>0</v>
      </c>
      <c r="DF5" s="36">
        <v>0</v>
      </c>
      <c r="DG5" s="36">
        <v>0</v>
      </c>
      <c r="DH5" s="36">
        <v>0</v>
      </c>
      <c r="DI5" s="36">
        <f>4*(DF5*(DG5*60+DH5))</f>
        <v>0</v>
      </c>
      <c r="DJ5" s="36">
        <v>7</v>
      </c>
      <c r="DK5" s="36">
        <v>0</v>
      </c>
      <c r="DL5" s="36">
        <v>20</v>
      </c>
      <c r="DM5" s="36">
        <f>3.3*(DJ5*(DK5*60+DL5))</f>
        <v>462</v>
      </c>
      <c r="DN5" s="36">
        <v>8</v>
      </c>
      <c r="DO5" s="36">
        <v>0</v>
      </c>
      <c r="DP5" s="36">
        <f>1*(7*(DN5*60+DO5))</f>
        <v>3360</v>
      </c>
      <c r="DQ5" s="33">
        <f>DE5+DI5+DM5</f>
        <v>462</v>
      </c>
      <c r="DR5" s="33"/>
      <c r="DS5" s="34"/>
      <c r="DT5" s="30"/>
      <c r="EL5" s="31"/>
      <c r="FD5" s="32"/>
      <c r="FT5" s="33"/>
      <c r="FU5" s="33"/>
      <c r="FV5" s="57"/>
      <c r="FW5" s="49"/>
      <c r="GO5" s="58">
        <f t="shared" si="21"/>
        <v>0</v>
      </c>
      <c r="HG5" s="59">
        <f t="shared" si="22"/>
        <v>0</v>
      </c>
      <c r="HK5" s="48">
        <f t="shared" si="23"/>
        <v>0</v>
      </c>
      <c r="HO5" s="48">
        <f t="shared" si="24"/>
        <v>0</v>
      </c>
      <c r="HS5" s="48">
        <f t="shared" si="25"/>
        <v>0</v>
      </c>
      <c r="HV5" s="48">
        <f t="shared" si="26"/>
        <v>0</v>
      </c>
      <c r="HW5" s="56">
        <f t="shared" si="27"/>
        <v>0</v>
      </c>
      <c r="HX5" s="56"/>
      <c r="HY5" s="60"/>
      <c r="HZ5" s="36" t="s">
        <v>239</v>
      </c>
      <c r="IA5" s="36" t="s">
        <v>239</v>
      </c>
    </row>
    <row r="6" spans="1:250" s="36" customFormat="1" ht="97.5" customHeight="1">
      <c r="A6" s="36" t="s">
        <v>453</v>
      </c>
      <c r="B6" s="30" t="s">
        <v>340</v>
      </c>
      <c r="C6" s="36" t="s">
        <v>464</v>
      </c>
      <c r="D6" s="37">
        <v>5352650</v>
      </c>
      <c r="E6" s="36" t="s">
        <v>465</v>
      </c>
      <c r="F6" s="36">
        <v>30</v>
      </c>
      <c r="G6" s="36" t="s">
        <v>466</v>
      </c>
      <c r="H6" s="36" t="s">
        <v>237</v>
      </c>
      <c r="I6" s="36" t="s">
        <v>237</v>
      </c>
      <c r="J6" s="36" t="s">
        <v>237</v>
      </c>
      <c r="K6" s="36" t="s">
        <v>237</v>
      </c>
      <c r="L6" s="37" t="s">
        <v>467</v>
      </c>
      <c r="M6" s="2" t="s">
        <v>239</v>
      </c>
      <c r="N6" s="30" t="s">
        <v>468</v>
      </c>
      <c r="O6" s="52">
        <v>0.5625</v>
      </c>
      <c r="P6" s="54" t="s">
        <v>247</v>
      </c>
      <c r="Q6" s="28">
        <v>1409585</v>
      </c>
      <c r="R6" s="36">
        <v>44</v>
      </c>
      <c r="S6" s="2" t="s">
        <v>469</v>
      </c>
      <c r="T6" s="2"/>
      <c r="U6" s="36">
        <v>3</v>
      </c>
      <c r="V6" s="36">
        <v>2</v>
      </c>
      <c r="W6" s="36">
        <v>1</v>
      </c>
      <c r="X6" s="36">
        <v>3</v>
      </c>
      <c r="Y6" s="36">
        <v>2</v>
      </c>
      <c r="Z6" s="36">
        <v>6</v>
      </c>
      <c r="AA6" s="36">
        <v>2</v>
      </c>
      <c r="AB6" s="36">
        <v>4</v>
      </c>
      <c r="AC6" s="36">
        <v>2</v>
      </c>
      <c r="AD6" s="36">
        <v>3</v>
      </c>
      <c r="AE6" s="36">
        <v>2</v>
      </c>
      <c r="AF6" s="39">
        <f t="shared" si="0"/>
        <v>30</v>
      </c>
      <c r="AG6" s="36">
        <v>0</v>
      </c>
      <c r="AH6" s="36">
        <v>1</v>
      </c>
      <c r="AI6" s="36">
        <v>0</v>
      </c>
      <c r="AJ6" s="36">
        <v>1</v>
      </c>
      <c r="AK6" s="36">
        <v>1</v>
      </c>
      <c r="AL6" s="36">
        <v>0</v>
      </c>
      <c r="AM6" s="36">
        <v>0</v>
      </c>
      <c r="AN6" s="36">
        <v>0</v>
      </c>
      <c r="AO6" s="36">
        <v>1</v>
      </c>
      <c r="AP6" s="36">
        <v>2</v>
      </c>
      <c r="AQ6" s="36">
        <v>0</v>
      </c>
      <c r="AR6" s="36">
        <v>0</v>
      </c>
      <c r="AS6" s="36">
        <v>0</v>
      </c>
      <c r="AT6" s="36">
        <v>0</v>
      </c>
      <c r="AU6" s="36">
        <v>0</v>
      </c>
      <c r="AV6" s="36">
        <v>0</v>
      </c>
      <c r="AW6" s="36">
        <v>1</v>
      </c>
      <c r="AX6" s="40">
        <f t="shared" si="1"/>
        <v>7</v>
      </c>
      <c r="AY6" s="36">
        <v>0</v>
      </c>
      <c r="AZ6" s="36">
        <v>0</v>
      </c>
      <c r="BA6" s="36">
        <v>0</v>
      </c>
      <c r="BB6" s="36">
        <f t="shared" si="2"/>
        <v>0</v>
      </c>
      <c r="BC6" s="36">
        <v>3</v>
      </c>
      <c r="BD6" s="36">
        <v>1</v>
      </c>
      <c r="BE6" s="36">
        <v>0</v>
      </c>
      <c r="BF6" s="36">
        <f t="shared" si="3"/>
        <v>720</v>
      </c>
      <c r="BG6" s="36">
        <v>7</v>
      </c>
      <c r="BH6" s="36">
        <v>2</v>
      </c>
      <c r="BI6" s="36">
        <v>0</v>
      </c>
      <c r="BJ6" s="36">
        <f t="shared" si="4"/>
        <v>2772</v>
      </c>
      <c r="BK6" s="36">
        <v>6</v>
      </c>
      <c r="BL6" s="36">
        <v>0</v>
      </c>
      <c r="BM6" s="36">
        <f t="shared" si="5"/>
        <v>2520</v>
      </c>
      <c r="BN6" s="33">
        <f t="shared" si="6"/>
        <v>3492</v>
      </c>
      <c r="BO6" s="33" t="s">
        <v>239</v>
      </c>
      <c r="BP6" s="34" t="s">
        <v>470</v>
      </c>
      <c r="BQ6" s="30" t="s">
        <v>471</v>
      </c>
      <c r="BR6" s="52">
        <v>0.70833333333333337</v>
      </c>
      <c r="BS6" s="28" t="s">
        <v>242</v>
      </c>
      <c r="BT6" s="2">
        <v>1416198</v>
      </c>
      <c r="BU6" s="36">
        <v>42</v>
      </c>
      <c r="BV6" s="2" t="s">
        <v>472</v>
      </c>
      <c r="BW6" s="2"/>
      <c r="BX6" s="36">
        <v>2</v>
      </c>
      <c r="BY6" s="36">
        <v>2</v>
      </c>
      <c r="BZ6" s="36">
        <v>0</v>
      </c>
      <c r="CA6" s="36">
        <v>0</v>
      </c>
      <c r="CB6" s="36">
        <v>4</v>
      </c>
      <c r="CC6" s="36">
        <v>4</v>
      </c>
      <c r="CD6" s="36">
        <v>2</v>
      </c>
      <c r="CE6" s="36">
        <v>2</v>
      </c>
      <c r="CF6" s="36">
        <v>0</v>
      </c>
      <c r="CG6" s="36">
        <v>2</v>
      </c>
      <c r="CH6" s="36">
        <v>2</v>
      </c>
      <c r="CI6" s="31">
        <f t="shared" si="7"/>
        <v>20</v>
      </c>
      <c r="CJ6" s="36">
        <v>0</v>
      </c>
      <c r="CK6" s="36">
        <v>0</v>
      </c>
      <c r="CL6" s="36">
        <v>0</v>
      </c>
      <c r="CM6" s="36">
        <v>0</v>
      </c>
      <c r="CN6" s="36">
        <v>0</v>
      </c>
      <c r="CO6" s="36">
        <v>0</v>
      </c>
      <c r="CP6" s="36">
        <v>0</v>
      </c>
      <c r="CQ6" s="36">
        <v>0</v>
      </c>
      <c r="CR6" s="36">
        <v>1</v>
      </c>
      <c r="CS6" s="36">
        <v>1</v>
      </c>
      <c r="CT6" s="36">
        <v>1</v>
      </c>
      <c r="CU6" s="36">
        <v>0</v>
      </c>
      <c r="CV6" s="36">
        <v>0</v>
      </c>
      <c r="CW6" s="36">
        <v>0</v>
      </c>
      <c r="CX6" s="36">
        <v>0</v>
      </c>
      <c r="CY6" s="36">
        <v>0</v>
      </c>
      <c r="CZ6" s="36">
        <v>1</v>
      </c>
      <c r="DA6" s="32">
        <f t="shared" ref="DA6:DA15" si="28">SUM(CJ6:CZ6)</f>
        <v>4</v>
      </c>
      <c r="DB6" s="36">
        <v>0</v>
      </c>
      <c r="DC6" s="36">
        <v>0</v>
      </c>
      <c r="DD6" s="36">
        <v>0</v>
      </c>
      <c r="DE6" s="36">
        <f t="shared" ref="DE6:DE19" si="29">8*(DB6*(DC6*60+DD6))</f>
        <v>0</v>
      </c>
      <c r="DF6" s="36">
        <v>0</v>
      </c>
      <c r="DG6" s="36">
        <v>0</v>
      </c>
      <c r="DH6" s="36">
        <v>0</v>
      </c>
      <c r="DI6" s="36">
        <f t="shared" ref="DI6:DI17" si="30">4*(DF6*(DG6*60+DH6))</f>
        <v>0</v>
      </c>
      <c r="DJ6" s="36">
        <v>5</v>
      </c>
      <c r="DK6" s="36">
        <v>0</v>
      </c>
      <c r="DL6" s="36">
        <v>30</v>
      </c>
      <c r="DM6" s="36">
        <f t="shared" ref="DM6:DM16" si="31">3.3*(DJ6*(DK6*60+DL6))</f>
        <v>495</v>
      </c>
      <c r="DN6" s="36">
        <v>10</v>
      </c>
      <c r="DO6" s="36">
        <v>0</v>
      </c>
      <c r="DP6" s="36">
        <f t="shared" ref="DP6:DP16" si="32">1*(7*(DN6*60+DO6))</f>
        <v>4200</v>
      </c>
      <c r="DQ6" s="33">
        <f t="shared" ref="DQ6:DQ18" si="33">DE6+DI6+DM6</f>
        <v>495</v>
      </c>
      <c r="DR6" s="33" t="s">
        <v>239</v>
      </c>
      <c r="DS6" s="34" t="s">
        <v>239</v>
      </c>
      <c r="DT6" s="30" t="s">
        <v>473</v>
      </c>
      <c r="DU6" s="52">
        <v>0.5</v>
      </c>
      <c r="DV6" s="28" t="s">
        <v>242</v>
      </c>
      <c r="DW6" s="28">
        <v>1419955</v>
      </c>
      <c r="DX6" s="36">
        <v>42</v>
      </c>
      <c r="DY6" s="2" t="s">
        <v>474</v>
      </c>
      <c r="DZ6" s="2"/>
      <c r="EA6" s="36">
        <v>0</v>
      </c>
      <c r="EB6" s="36">
        <v>0</v>
      </c>
      <c r="EC6" s="36">
        <v>1</v>
      </c>
      <c r="ED6" s="36">
        <v>0</v>
      </c>
      <c r="EE6" s="36">
        <v>0</v>
      </c>
      <c r="EF6" s="36">
        <v>0</v>
      </c>
      <c r="EG6" s="36">
        <v>1</v>
      </c>
      <c r="EH6" s="36">
        <v>0</v>
      </c>
      <c r="EI6" s="36">
        <v>0</v>
      </c>
      <c r="EJ6" s="36">
        <v>1</v>
      </c>
      <c r="EK6" s="36">
        <v>2</v>
      </c>
      <c r="EL6" s="31">
        <f t="shared" ref="EL6:EL8" si="34">SUM(EA6:EK6)</f>
        <v>5</v>
      </c>
      <c r="EM6" s="36">
        <v>0</v>
      </c>
      <c r="EN6" s="36">
        <v>0</v>
      </c>
      <c r="EO6" s="36">
        <v>0</v>
      </c>
      <c r="EP6" s="36">
        <v>0</v>
      </c>
      <c r="EQ6" s="36">
        <v>0</v>
      </c>
      <c r="ER6" s="36">
        <v>0</v>
      </c>
      <c r="ES6" s="36">
        <v>0</v>
      </c>
      <c r="ET6" s="36">
        <v>0</v>
      </c>
      <c r="EU6" s="36">
        <v>0</v>
      </c>
      <c r="EV6" s="36">
        <v>1</v>
      </c>
      <c r="EW6" s="36">
        <v>0</v>
      </c>
      <c r="EX6" s="36">
        <v>0</v>
      </c>
      <c r="EY6" s="36">
        <v>1</v>
      </c>
      <c r="EZ6" s="36">
        <v>0</v>
      </c>
      <c r="FA6" s="36">
        <v>0</v>
      </c>
      <c r="FB6" s="36">
        <v>1</v>
      </c>
      <c r="FC6" s="36">
        <v>1</v>
      </c>
      <c r="FD6" s="32">
        <f t="shared" ref="FD6:FD8" si="35">SUM(EM6:FC6)</f>
        <v>4</v>
      </c>
      <c r="FE6" s="36">
        <v>0</v>
      </c>
      <c r="FF6" s="36">
        <v>0</v>
      </c>
      <c r="FG6" s="36">
        <v>0</v>
      </c>
      <c r="FH6" s="36">
        <f t="shared" ref="FH6:FH14" si="36">8*(FE6*(FF6*60+FG6))</f>
        <v>0</v>
      </c>
      <c r="FI6" s="36">
        <v>0</v>
      </c>
      <c r="FJ6" s="36">
        <v>0</v>
      </c>
      <c r="FK6" s="36">
        <v>0</v>
      </c>
      <c r="FL6" s="36">
        <f t="shared" ref="FL6:FL17" si="37">4*(FI6*(FJ6*60+FK6))</f>
        <v>0</v>
      </c>
      <c r="FM6" s="36">
        <v>3</v>
      </c>
      <c r="FN6" s="36">
        <v>0</v>
      </c>
      <c r="FO6" s="36">
        <v>15</v>
      </c>
      <c r="FP6" s="36">
        <f t="shared" ref="FP6:FP23" si="38">3.3*(FM6*(FN6*60+FO6))</f>
        <v>148.5</v>
      </c>
      <c r="FQ6" s="36">
        <v>11</v>
      </c>
      <c r="FR6" s="36">
        <v>0</v>
      </c>
      <c r="FS6" s="36">
        <f t="shared" ref="FS6:FS8" si="39">1*(7*(FQ6*60+FR6))</f>
        <v>4620</v>
      </c>
      <c r="FT6" s="33">
        <f t="shared" ref="FT6:FT7" si="40">FH6+FL6+FP6</f>
        <v>148.5</v>
      </c>
      <c r="FU6" s="33"/>
      <c r="FV6" s="34"/>
      <c r="FW6" s="30"/>
      <c r="GO6" s="31"/>
      <c r="HG6" s="32">
        <f t="shared" si="22"/>
        <v>0</v>
      </c>
      <c r="HK6" s="36">
        <f t="shared" si="23"/>
        <v>0</v>
      </c>
      <c r="HO6" s="36">
        <f t="shared" si="24"/>
        <v>0</v>
      </c>
      <c r="HS6" s="36">
        <f t="shared" si="25"/>
        <v>0</v>
      </c>
      <c r="HV6" s="36">
        <f t="shared" si="26"/>
        <v>0</v>
      </c>
      <c r="HW6" s="33">
        <f t="shared" si="27"/>
        <v>0</v>
      </c>
      <c r="HX6" s="33"/>
      <c r="HY6" s="35"/>
      <c r="HZ6" s="36" t="s">
        <v>239</v>
      </c>
      <c r="IA6" s="36" t="s">
        <v>239</v>
      </c>
    </row>
    <row r="7" spans="1:250" s="42" customFormat="1" ht="97.5" customHeight="1">
      <c r="A7" s="36" t="s">
        <v>231</v>
      </c>
      <c r="B7" s="30" t="s">
        <v>340</v>
      </c>
      <c r="C7" s="2" t="s">
        <v>475</v>
      </c>
      <c r="D7" s="37">
        <v>5342640</v>
      </c>
      <c r="E7" s="36" t="s">
        <v>476</v>
      </c>
      <c r="F7" s="36">
        <v>21</v>
      </c>
      <c r="G7" s="36" t="s">
        <v>235</v>
      </c>
      <c r="H7" s="36" t="s">
        <v>237</v>
      </c>
      <c r="I7" s="36" t="s">
        <v>237</v>
      </c>
      <c r="J7" s="36" t="s">
        <v>237</v>
      </c>
      <c r="K7" s="2" t="s">
        <v>477</v>
      </c>
      <c r="L7" s="37" t="s">
        <v>478</v>
      </c>
      <c r="M7" s="62" t="s">
        <v>239</v>
      </c>
      <c r="N7" s="30" t="s">
        <v>479</v>
      </c>
      <c r="O7" s="52">
        <v>0.64583333333333337</v>
      </c>
      <c r="P7" s="28" t="s">
        <v>480</v>
      </c>
      <c r="Q7" s="36">
        <v>1437962</v>
      </c>
      <c r="R7" s="2" t="s">
        <v>481</v>
      </c>
      <c r="S7" s="2" t="s">
        <v>482</v>
      </c>
      <c r="T7" s="2"/>
      <c r="U7" s="36">
        <v>2</v>
      </c>
      <c r="V7" s="36">
        <v>2</v>
      </c>
      <c r="W7" s="36">
        <v>2</v>
      </c>
      <c r="X7" s="36">
        <v>2</v>
      </c>
      <c r="Y7" s="36">
        <v>2</v>
      </c>
      <c r="Z7" s="36">
        <v>2</v>
      </c>
      <c r="AA7" s="36">
        <v>2</v>
      </c>
      <c r="AB7" s="36">
        <v>6</v>
      </c>
      <c r="AC7" s="36">
        <v>0</v>
      </c>
      <c r="AD7" s="36">
        <v>1</v>
      </c>
      <c r="AE7" s="36">
        <v>2</v>
      </c>
      <c r="AF7" s="39">
        <f t="shared" si="0"/>
        <v>23</v>
      </c>
      <c r="AG7" s="36">
        <v>0</v>
      </c>
      <c r="AH7" s="36">
        <v>0</v>
      </c>
      <c r="AI7" s="36">
        <v>0</v>
      </c>
      <c r="AJ7" s="36">
        <v>2</v>
      </c>
      <c r="AK7" s="36">
        <v>0</v>
      </c>
      <c r="AL7" s="36">
        <v>0</v>
      </c>
      <c r="AM7" s="36">
        <v>0</v>
      </c>
      <c r="AN7" s="36">
        <v>0</v>
      </c>
      <c r="AO7" s="36">
        <v>0</v>
      </c>
      <c r="AP7" s="36">
        <v>0</v>
      </c>
      <c r="AQ7" s="36">
        <v>0</v>
      </c>
      <c r="AR7" s="36">
        <v>0</v>
      </c>
      <c r="AS7" s="36">
        <v>0</v>
      </c>
      <c r="AT7" s="36">
        <v>0</v>
      </c>
      <c r="AU7" s="36">
        <v>0</v>
      </c>
      <c r="AV7" s="36">
        <v>0</v>
      </c>
      <c r="AW7" s="36">
        <v>1</v>
      </c>
      <c r="AX7" s="40">
        <f t="shared" si="1"/>
        <v>3</v>
      </c>
      <c r="AY7" s="36">
        <v>7</v>
      </c>
      <c r="AZ7" s="36">
        <v>2</v>
      </c>
      <c r="BA7" s="36">
        <v>30</v>
      </c>
      <c r="BB7" s="36">
        <f t="shared" si="2"/>
        <v>8400</v>
      </c>
      <c r="BC7" s="36">
        <v>0</v>
      </c>
      <c r="BD7" s="36">
        <v>0</v>
      </c>
      <c r="BE7" s="36">
        <v>0</v>
      </c>
      <c r="BF7" s="36">
        <f t="shared" si="3"/>
        <v>0</v>
      </c>
      <c r="BG7" s="36">
        <v>3</v>
      </c>
      <c r="BH7" s="36">
        <v>0</v>
      </c>
      <c r="BI7" s="36">
        <v>30</v>
      </c>
      <c r="BJ7" s="36">
        <f t="shared" si="4"/>
        <v>297</v>
      </c>
      <c r="BK7" s="36">
        <v>5</v>
      </c>
      <c r="BL7" s="36">
        <v>0</v>
      </c>
      <c r="BM7" s="36">
        <f t="shared" si="5"/>
        <v>2100</v>
      </c>
      <c r="BN7" s="33">
        <f t="shared" si="6"/>
        <v>8697</v>
      </c>
      <c r="BO7" s="43"/>
      <c r="BP7" s="47"/>
      <c r="BQ7" s="30" t="s">
        <v>483</v>
      </c>
      <c r="BR7" s="52">
        <v>0.53472222222222221</v>
      </c>
      <c r="BS7" s="36" t="s">
        <v>257</v>
      </c>
      <c r="BT7" s="2">
        <v>1443216</v>
      </c>
      <c r="BU7" s="36">
        <v>45</v>
      </c>
      <c r="BV7" s="2" t="s">
        <v>484</v>
      </c>
      <c r="BW7" s="2"/>
      <c r="BX7" s="36">
        <v>2</v>
      </c>
      <c r="BY7" s="36">
        <v>1</v>
      </c>
      <c r="BZ7" s="36">
        <v>2</v>
      </c>
      <c r="CA7" s="36">
        <v>2</v>
      </c>
      <c r="CB7" s="36">
        <v>2</v>
      </c>
      <c r="CC7" s="36">
        <v>0</v>
      </c>
      <c r="CD7" s="36">
        <v>1</v>
      </c>
      <c r="CE7" s="36">
        <v>2</v>
      </c>
      <c r="CF7" s="36">
        <v>0</v>
      </c>
      <c r="CG7" s="36">
        <v>1</v>
      </c>
      <c r="CH7" s="36">
        <v>2</v>
      </c>
      <c r="CI7" s="31">
        <f t="shared" si="7"/>
        <v>15</v>
      </c>
      <c r="CJ7" s="36">
        <v>0</v>
      </c>
      <c r="CK7" s="36">
        <v>0</v>
      </c>
      <c r="CL7" s="36">
        <v>0</v>
      </c>
      <c r="CM7" s="36">
        <v>1</v>
      </c>
      <c r="CN7" s="36">
        <v>1</v>
      </c>
      <c r="CO7" s="36">
        <v>0</v>
      </c>
      <c r="CP7" s="36">
        <v>0</v>
      </c>
      <c r="CQ7" s="36">
        <v>0</v>
      </c>
      <c r="CR7" s="36">
        <v>0</v>
      </c>
      <c r="CS7" s="36">
        <v>2</v>
      </c>
      <c r="CT7" s="36">
        <v>0</v>
      </c>
      <c r="CU7" s="36">
        <v>0</v>
      </c>
      <c r="CV7" s="36">
        <v>0</v>
      </c>
      <c r="CW7" s="36">
        <v>0</v>
      </c>
      <c r="CX7" s="36">
        <v>0</v>
      </c>
      <c r="CY7" s="36">
        <v>0</v>
      </c>
      <c r="CZ7" s="36">
        <v>1</v>
      </c>
      <c r="DA7" s="32">
        <f t="shared" si="28"/>
        <v>5</v>
      </c>
      <c r="DB7" s="36">
        <v>0</v>
      </c>
      <c r="DC7" s="36">
        <v>0</v>
      </c>
      <c r="DD7" s="36">
        <v>0</v>
      </c>
      <c r="DE7" s="36">
        <f t="shared" si="29"/>
        <v>0</v>
      </c>
      <c r="DF7" s="36">
        <v>3</v>
      </c>
      <c r="DG7" s="36">
        <v>0</v>
      </c>
      <c r="DH7" s="36">
        <v>30</v>
      </c>
      <c r="DI7" s="36">
        <f t="shared" si="30"/>
        <v>360</v>
      </c>
      <c r="DJ7" s="36">
        <v>0</v>
      </c>
      <c r="DK7" s="36">
        <v>0</v>
      </c>
      <c r="DL7" s="36">
        <v>0</v>
      </c>
      <c r="DM7" s="36">
        <f t="shared" si="31"/>
        <v>0</v>
      </c>
      <c r="DN7" s="36">
        <v>7</v>
      </c>
      <c r="DO7" s="36">
        <v>0</v>
      </c>
      <c r="DP7" s="36">
        <f t="shared" si="32"/>
        <v>2940</v>
      </c>
      <c r="DQ7" s="33">
        <f t="shared" si="33"/>
        <v>360</v>
      </c>
      <c r="DR7" s="33" t="s">
        <v>239</v>
      </c>
      <c r="DS7" s="34" t="s">
        <v>239</v>
      </c>
      <c r="DT7" s="30" t="s">
        <v>485</v>
      </c>
      <c r="DU7" s="52">
        <v>0.45833333333333331</v>
      </c>
      <c r="DV7" s="66" t="s">
        <v>335</v>
      </c>
      <c r="DW7" s="28">
        <v>1455202</v>
      </c>
      <c r="DX7" s="36">
        <v>44</v>
      </c>
      <c r="DY7" s="2" t="s">
        <v>486</v>
      </c>
      <c r="DZ7" s="2"/>
      <c r="EA7" s="36">
        <v>0</v>
      </c>
      <c r="EB7" s="36">
        <v>0</v>
      </c>
      <c r="EC7" s="36">
        <v>0</v>
      </c>
      <c r="ED7" s="36">
        <v>0</v>
      </c>
      <c r="EE7" s="36">
        <v>2</v>
      </c>
      <c r="EF7" s="36">
        <v>0</v>
      </c>
      <c r="EG7" s="36">
        <v>0</v>
      </c>
      <c r="EH7" s="36">
        <v>0</v>
      </c>
      <c r="EI7" s="36">
        <v>0</v>
      </c>
      <c r="EJ7" s="36">
        <v>1</v>
      </c>
      <c r="EK7" s="36">
        <v>1</v>
      </c>
      <c r="EL7" s="31">
        <f t="shared" si="34"/>
        <v>4</v>
      </c>
      <c r="EM7" s="36">
        <v>0</v>
      </c>
      <c r="EN7" s="36">
        <v>0</v>
      </c>
      <c r="EO7" s="36">
        <v>0</v>
      </c>
      <c r="EP7" s="36">
        <v>0</v>
      </c>
      <c r="EQ7" s="36">
        <v>0</v>
      </c>
      <c r="ER7" s="36">
        <v>0</v>
      </c>
      <c r="ES7" s="36">
        <v>0</v>
      </c>
      <c r="ET7" s="36">
        <v>0</v>
      </c>
      <c r="EU7" s="36">
        <v>0</v>
      </c>
      <c r="EV7" s="36">
        <v>0</v>
      </c>
      <c r="EW7" s="36">
        <v>0</v>
      </c>
      <c r="EX7" s="36">
        <v>0</v>
      </c>
      <c r="EY7" s="36">
        <v>0</v>
      </c>
      <c r="EZ7" s="36">
        <v>0</v>
      </c>
      <c r="FA7" s="36">
        <v>0</v>
      </c>
      <c r="FB7" s="36">
        <v>0</v>
      </c>
      <c r="FC7" s="36">
        <v>1</v>
      </c>
      <c r="FD7" s="32">
        <f t="shared" si="35"/>
        <v>1</v>
      </c>
      <c r="FE7" s="36">
        <v>0</v>
      </c>
      <c r="FF7" s="36">
        <v>0</v>
      </c>
      <c r="FG7" s="36">
        <v>0</v>
      </c>
      <c r="FH7" s="36">
        <f t="shared" si="36"/>
        <v>0</v>
      </c>
      <c r="FI7" s="36">
        <v>0</v>
      </c>
      <c r="FJ7" s="36">
        <v>0</v>
      </c>
      <c r="FK7" s="36">
        <v>0</v>
      </c>
      <c r="FL7" s="36">
        <f t="shared" si="37"/>
        <v>0</v>
      </c>
      <c r="FM7" s="36">
        <v>7</v>
      </c>
      <c r="FN7" s="36">
        <v>0</v>
      </c>
      <c r="FO7" s="36">
        <v>15</v>
      </c>
      <c r="FP7" s="36">
        <f t="shared" si="38"/>
        <v>346.5</v>
      </c>
      <c r="FQ7" s="36">
        <v>12</v>
      </c>
      <c r="FR7" s="36">
        <v>0</v>
      </c>
      <c r="FS7" s="36">
        <f t="shared" si="39"/>
        <v>5040</v>
      </c>
      <c r="FT7" s="33">
        <f t="shared" si="40"/>
        <v>346.5</v>
      </c>
      <c r="FU7" s="33" t="s">
        <v>239</v>
      </c>
      <c r="FV7" s="34" t="s">
        <v>239</v>
      </c>
      <c r="FW7" s="45"/>
      <c r="GO7" s="50"/>
      <c r="HG7" s="51"/>
      <c r="HK7" s="36"/>
      <c r="HO7" s="36"/>
      <c r="HS7" s="36"/>
      <c r="HV7" s="36"/>
      <c r="HW7" s="33"/>
      <c r="HX7" s="43"/>
      <c r="HY7" s="35"/>
      <c r="HZ7" s="36" t="s">
        <v>239</v>
      </c>
      <c r="IA7" s="36" t="s">
        <v>239</v>
      </c>
    </row>
    <row r="8" spans="1:250" s="42" customFormat="1" ht="97.5" customHeight="1">
      <c r="A8" s="36" t="s">
        <v>231</v>
      </c>
      <c r="B8" s="30" t="s">
        <v>310</v>
      </c>
      <c r="C8" s="36" t="s">
        <v>487</v>
      </c>
      <c r="D8" s="37">
        <v>4983828</v>
      </c>
      <c r="E8" s="36" t="s">
        <v>488</v>
      </c>
      <c r="F8" s="36">
        <v>21</v>
      </c>
      <c r="G8" s="36" t="s">
        <v>300</v>
      </c>
      <c r="H8" s="36" t="s">
        <v>237</v>
      </c>
      <c r="I8" s="36" t="s">
        <v>237</v>
      </c>
      <c r="J8" s="36" t="s">
        <v>237</v>
      </c>
      <c r="K8" s="2" t="s">
        <v>489</v>
      </c>
      <c r="L8" s="37" t="s">
        <v>478</v>
      </c>
      <c r="M8" s="62" t="s">
        <v>490</v>
      </c>
      <c r="N8" s="30" t="s">
        <v>479</v>
      </c>
      <c r="O8" s="52">
        <v>0.65972222222222221</v>
      </c>
      <c r="P8" s="28" t="s">
        <v>491</v>
      </c>
      <c r="Q8" s="36">
        <v>1433351</v>
      </c>
      <c r="R8" s="36">
        <v>54</v>
      </c>
      <c r="S8" s="2" t="s">
        <v>492</v>
      </c>
      <c r="T8" s="2"/>
      <c r="U8" s="36">
        <v>2</v>
      </c>
      <c r="V8" s="36">
        <v>1</v>
      </c>
      <c r="W8" s="36">
        <v>0</v>
      </c>
      <c r="X8" s="36">
        <v>2</v>
      </c>
      <c r="Y8" s="36">
        <v>0</v>
      </c>
      <c r="Z8" s="36">
        <v>4</v>
      </c>
      <c r="AA8" s="36">
        <v>1</v>
      </c>
      <c r="AB8" s="36">
        <v>2</v>
      </c>
      <c r="AC8" s="36">
        <v>0</v>
      </c>
      <c r="AD8" s="36">
        <v>2</v>
      </c>
      <c r="AE8" s="36">
        <v>2</v>
      </c>
      <c r="AF8" s="39">
        <f t="shared" si="0"/>
        <v>16</v>
      </c>
      <c r="AG8" s="36">
        <v>0</v>
      </c>
      <c r="AH8" s="36">
        <v>0</v>
      </c>
      <c r="AI8" s="36">
        <v>0</v>
      </c>
      <c r="AJ8" s="36">
        <v>2</v>
      </c>
      <c r="AK8" s="36">
        <v>0</v>
      </c>
      <c r="AL8" s="36">
        <v>0</v>
      </c>
      <c r="AM8" s="36">
        <v>0</v>
      </c>
      <c r="AN8" s="36">
        <v>0</v>
      </c>
      <c r="AO8" s="36">
        <v>0</v>
      </c>
      <c r="AP8" s="36">
        <v>2</v>
      </c>
      <c r="AQ8" s="36">
        <v>0</v>
      </c>
      <c r="AR8" s="36">
        <v>0</v>
      </c>
      <c r="AS8" s="36">
        <v>0</v>
      </c>
      <c r="AT8" s="36">
        <v>0</v>
      </c>
      <c r="AU8" s="36">
        <v>0</v>
      </c>
      <c r="AV8" s="36">
        <v>0</v>
      </c>
      <c r="AW8" s="36">
        <v>1</v>
      </c>
      <c r="AX8" s="40">
        <f t="shared" si="1"/>
        <v>5</v>
      </c>
      <c r="AY8" s="36">
        <v>0</v>
      </c>
      <c r="AZ8" s="36">
        <v>0</v>
      </c>
      <c r="BA8" s="36">
        <v>0</v>
      </c>
      <c r="BB8" s="36">
        <f t="shared" si="2"/>
        <v>0</v>
      </c>
      <c r="BC8" s="36">
        <v>0</v>
      </c>
      <c r="BD8" s="36">
        <v>0</v>
      </c>
      <c r="BE8" s="36">
        <v>0</v>
      </c>
      <c r="BF8" s="36">
        <f t="shared" si="3"/>
        <v>0</v>
      </c>
      <c r="BG8" s="36">
        <v>0</v>
      </c>
      <c r="BH8" s="36">
        <v>0</v>
      </c>
      <c r="BI8" s="36">
        <v>0</v>
      </c>
      <c r="BJ8" s="36">
        <f t="shared" si="4"/>
        <v>0</v>
      </c>
      <c r="BK8" s="36">
        <v>7</v>
      </c>
      <c r="BL8" s="36">
        <v>0</v>
      </c>
      <c r="BM8" s="36">
        <f t="shared" si="5"/>
        <v>2940</v>
      </c>
      <c r="BN8" s="33">
        <f t="shared" si="6"/>
        <v>0</v>
      </c>
      <c r="BO8" s="43"/>
      <c r="BP8" s="47"/>
      <c r="BQ8" s="30" t="s">
        <v>493</v>
      </c>
      <c r="BR8" s="52">
        <v>0.65555555555555556</v>
      </c>
      <c r="BS8" s="28" t="s">
        <v>491</v>
      </c>
      <c r="BT8" s="2">
        <v>1438878</v>
      </c>
      <c r="BU8" s="36">
        <v>57</v>
      </c>
      <c r="BV8" s="54" t="s">
        <v>494</v>
      </c>
      <c r="BW8" s="54"/>
      <c r="BX8" s="36">
        <v>0</v>
      </c>
      <c r="BY8" s="36">
        <v>0</v>
      </c>
      <c r="BZ8" s="36">
        <v>0</v>
      </c>
      <c r="CA8" s="36">
        <v>0</v>
      </c>
      <c r="CB8" s="36">
        <v>0</v>
      </c>
      <c r="CC8" s="36">
        <v>0</v>
      </c>
      <c r="CD8" s="36">
        <v>0</v>
      </c>
      <c r="CE8" s="36">
        <v>2</v>
      </c>
      <c r="CF8" s="36">
        <v>0</v>
      </c>
      <c r="CG8" s="36">
        <v>1</v>
      </c>
      <c r="CH8" s="36">
        <v>0</v>
      </c>
      <c r="CI8" s="31">
        <f t="shared" si="7"/>
        <v>3</v>
      </c>
      <c r="CJ8" s="36">
        <v>0</v>
      </c>
      <c r="CK8" s="36">
        <v>0</v>
      </c>
      <c r="CL8" s="36">
        <v>0</v>
      </c>
      <c r="CM8" s="36">
        <v>0</v>
      </c>
      <c r="CN8" s="36">
        <v>0</v>
      </c>
      <c r="CO8" s="36">
        <v>0</v>
      </c>
      <c r="CP8" s="36">
        <v>0</v>
      </c>
      <c r="CQ8" s="36">
        <v>0</v>
      </c>
      <c r="CR8" s="36">
        <v>0</v>
      </c>
      <c r="CS8" s="36">
        <v>0</v>
      </c>
      <c r="CT8" s="36">
        <v>1</v>
      </c>
      <c r="CU8" s="36">
        <v>0</v>
      </c>
      <c r="CV8" s="36">
        <v>0</v>
      </c>
      <c r="CW8" s="36">
        <v>0</v>
      </c>
      <c r="CX8" s="36">
        <v>0</v>
      </c>
      <c r="CY8" s="36">
        <v>0</v>
      </c>
      <c r="CZ8" s="36">
        <v>0</v>
      </c>
      <c r="DA8" s="32">
        <f t="shared" si="28"/>
        <v>1</v>
      </c>
      <c r="DB8" s="36">
        <v>0</v>
      </c>
      <c r="DC8" s="36">
        <v>0</v>
      </c>
      <c r="DD8" s="36">
        <v>0</v>
      </c>
      <c r="DE8" s="36">
        <f t="shared" si="29"/>
        <v>0</v>
      </c>
      <c r="DF8" s="36">
        <v>7</v>
      </c>
      <c r="DG8" s="36">
        <v>0</v>
      </c>
      <c r="DH8" s="36">
        <v>30</v>
      </c>
      <c r="DI8" s="36">
        <f t="shared" si="30"/>
        <v>840</v>
      </c>
      <c r="DJ8" s="36">
        <v>2</v>
      </c>
      <c r="DK8" s="36">
        <v>0</v>
      </c>
      <c r="DL8" s="36">
        <v>30</v>
      </c>
      <c r="DM8" s="36">
        <f t="shared" si="31"/>
        <v>198</v>
      </c>
      <c r="DN8" s="36">
        <v>8</v>
      </c>
      <c r="DO8" s="36">
        <v>0</v>
      </c>
      <c r="DP8" s="36">
        <f t="shared" si="32"/>
        <v>3360</v>
      </c>
      <c r="DQ8" s="33">
        <f t="shared" si="33"/>
        <v>1038</v>
      </c>
      <c r="DR8" s="43"/>
      <c r="DS8" s="47"/>
      <c r="DT8" s="30" t="s">
        <v>239</v>
      </c>
      <c r="DU8" s="36" t="s">
        <v>239</v>
      </c>
      <c r="DV8" s="36" t="s">
        <v>239</v>
      </c>
      <c r="EL8" s="31">
        <f t="shared" si="34"/>
        <v>0</v>
      </c>
      <c r="FD8" s="32">
        <f t="shared" si="35"/>
        <v>0</v>
      </c>
      <c r="FH8" s="36">
        <f t="shared" si="36"/>
        <v>0</v>
      </c>
      <c r="FL8" s="36">
        <f t="shared" si="37"/>
        <v>0</v>
      </c>
      <c r="FM8" s="36"/>
      <c r="FN8" s="36"/>
      <c r="FO8" s="36"/>
      <c r="FP8" s="36">
        <f t="shared" si="38"/>
        <v>0</v>
      </c>
      <c r="FQ8" s="36"/>
      <c r="FR8" s="36"/>
      <c r="FS8" s="36">
        <f t="shared" si="39"/>
        <v>0</v>
      </c>
      <c r="FT8" s="33"/>
      <c r="FU8" s="43"/>
      <c r="FV8" s="47"/>
      <c r="FW8" s="45"/>
      <c r="GO8" s="50"/>
      <c r="HG8" s="51"/>
      <c r="HK8" s="36"/>
      <c r="HO8" s="36"/>
      <c r="HS8" s="36"/>
      <c r="HV8" s="36"/>
      <c r="HW8" s="33"/>
      <c r="HX8" s="43"/>
      <c r="HY8" s="35"/>
      <c r="HZ8" s="36" t="s">
        <v>495</v>
      </c>
      <c r="IA8" s="36" t="s">
        <v>496</v>
      </c>
    </row>
    <row r="9" spans="1:250" ht="97.5" customHeight="1">
      <c r="A9" s="36" t="s">
        <v>320</v>
      </c>
      <c r="B9" s="30" t="s">
        <v>375</v>
      </c>
      <c r="C9" s="6" t="s">
        <v>497</v>
      </c>
      <c r="D9" s="37">
        <v>4683172</v>
      </c>
      <c r="E9" s="6" t="s">
        <v>498</v>
      </c>
      <c r="F9" s="6">
        <v>25</v>
      </c>
      <c r="G9" s="6" t="s">
        <v>235</v>
      </c>
      <c r="H9" s="6" t="s">
        <v>237</v>
      </c>
      <c r="I9" s="4" t="s">
        <v>499</v>
      </c>
      <c r="J9" s="4" t="s">
        <v>500</v>
      </c>
      <c r="K9" s="6" t="s">
        <v>237</v>
      </c>
      <c r="L9" s="20" t="s">
        <v>501</v>
      </c>
      <c r="M9" s="6" t="s">
        <v>239</v>
      </c>
      <c r="N9" s="7" t="s">
        <v>502</v>
      </c>
      <c r="O9" s="27">
        <v>0.51250000000000007</v>
      </c>
      <c r="P9" s="6" t="s">
        <v>503</v>
      </c>
      <c r="Q9" s="36">
        <v>1444462</v>
      </c>
      <c r="R9" s="4" t="s">
        <v>504</v>
      </c>
      <c r="S9" s="4" t="s">
        <v>505</v>
      </c>
      <c r="T9" s="4"/>
      <c r="U9" s="6">
        <v>2</v>
      </c>
      <c r="V9" s="6">
        <v>3</v>
      </c>
      <c r="W9" s="6">
        <v>1</v>
      </c>
      <c r="X9" s="6">
        <v>3</v>
      </c>
      <c r="Y9" s="6">
        <v>4</v>
      </c>
      <c r="Z9" s="6">
        <v>6</v>
      </c>
      <c r="AA9" s="6">
        <v>3</v>
      </c>
      <c r="AB9" s="6">
        <v>6</v>
      </c>
      <c r="AC9" s="6">
        <v>2</v>
      </c>
      <c r="AD9" s="6">
        <v>3</v>
      </c>
      <c r="AE9" s="6">
        <v>3</v>
      </c>
      <c r="AF9" s="39">
        <f t="shared" si="0"/>
        <v>36</v>
      </c>
      <c r="AG9" s="6">
        <v>2</v>
      </c>
      <c r="AH9" s="6">
        <v>0</v>
      </c>
      <c r="AI9" s="6">
        <v>0</v>
      </c>
      <c r="AJ9" s="6">
        <v>2</v>
      </c>
      <c r="AK9" s="6">
        <v>0</v>
      </c>
      <c r="AL9" s="6">
        <v>0</v>
      </c>
      <c r="AM9" s="6">
        <v>0</v>
      </c>
      <c r="AN9" s="6">
        <v>0</v>
      </c>
      <c r="AO9" s="6">
        <v>1</v>
      </c>
      <c r="AP9" s="6">
        <v>2</v>
      </c>
      <c r="AQ9" s="6">
        <v>0</v>
      </c>
      <c r="AR9" s="6">
        <v>0</v>
      </c>
      <c r="AS9" s="6">
        <v>0</v>
      </c>
      <c r="AT9" s="6">
        <v>0</v>
      </c>
      <c r="AU9" s="6">
        <v>0</v>
      </c>
      <c r="AV9" s="6">
        <v>0</v>
      </c>
      <c r="AW9" s="6">
        <v>1</v>
      </c>
      <c r="AX9" s="40">
        <f t="shared" si="1"/>
        <v>8</v>
      </c>
      <c r="AY9" s="6">
        <v>0</v>
      </c>
      <c r="AZ9" s="6">
        <v>0</v>
      </c>
      <c r="BA9" s="6">
        <v>0</v>
      </c>
      <c r="BB9" s="36">
        <f t="shared" si="2"/>
        <v>0</v>
      </c>
      <c r="BF9" s="36">
        <f t="shared" si="3"/>
        <v>0</v>
      </c>
      <c r="BJ9" s="36">
        <f t="shared" si="4"/>
        <v>0</v>
      </c>
      <c r="BM9" s="67">
        <f t="shared" si="5"/>
        <v>0</v>
      </c>
      <c r="BN9" s="33">
        <f t="shared" si="6"/>
        <v>0</v>
      </c>
      <c r="BP9" s="19"/>
      <c r="CI9" s="31">
        <f t="shared" si="7"/>
        <v>0</v>
      </c>
      <c r="DA9" s="32">
        <f t="shared" si="28"/>
        <v>0</v>
      </c>
      <c r="DE9" s="36">
        <f t="shared" si="29"/>
        <v>0</v>
      </c>
      <c r="DI9" s="36">
        <f t="shared" si="30"/>
        <v>0</v>
      </c>
      <c r="DM9" s="36">
        <f t="shared" si="31"/>
        <v>0</v>
      </c>
      <c r="DP9" s="36">
        <f t="shared" si="32"/>
        <v>0</v>
      </c>
      <c r="DQ9" s="33">
        <f t="shared" si="33"/>
        <v>0</v>
      </c>
      <c r="EL9" s="31">
        <f t="shared" ref="EL9:EL11" si="41">SUM(EA9:EK9)</f>
        <v>0</v>
      </c>
      <c r="FD9" s="32">
        <f t="shared" ref="FD9:FD11" si="42">SUM(EM9:FC9)</f>
        <v>0</v>
      </c>
      <c r="FH9" s="36">
        <f t="shared" si="36"/>
        <v>0</v>
      </c>
      <c r="FL9" s="36">
        <f t="shared" si="37"/>
        <v>0</v>
      </c>
      <c r="FM9" s="6"/>
      <c r="FN9" s="6"/>
      <c r="FO9" s="6"/>
      <c r="FP9" s="36">
        <f t="shared" si="38"/>
        <v>0</v>
      </c>
      <c r="FQ9" s="6"/>
      <c r="FR9" s="6"/>
      <c r="FS9" s="36">
        <f t="shared" ref="FS9:FS12" si="43">1*(7*(FQ9*60+FR9))</f>
        <v>0</v>
      </c>
      <c r="FT9" s="33">
        <f t="shared" ref="FT9:FT17" si="44">FH9+FL9+FP9</f>
        <v>0</v>
      </c>
      <c r="FV9" s="19"/>
      <c r="HG9" s="9"/>
      <c r="HO9" s="36">
        <f t="shared" ref="HO9" si="45">4*(HL9*(HM9*60+HN9))</f>
        <v>0</v>
      </c>
      <c r="HS9" s="36">
        <f t="shared" ref="HS9" si="46">3.3*(HP9*(HQ9*60+HR9))</f>
        <v>0</v>
      </c>
      <c r="HW9" s="33">
        <f t="shared" ref="HW9" si="47">HK9+HO9+HS9</f>
        <v>0</v>
      </c>
    </row>
    <row r="10" spans="1:250" ht="97.5" customHeight="1">
      <c r="A10" s="6" t="s">
        <v>231</v>
      </c>
      <c r="B10" s="30" t="s">
        <v>454</v>
      </c>
      <c r="C10" s="6" t="s">
        <v>506</v>
      </c>
      <c r="D10" s="65">
        <v>55622</v>
      </c>
      <c r="E10" s="6" t="s">
        <v>507</v>
      </c>
      <c r="F10" s="6">
        <v>40</v>
      </c>
      <c r="G10" s="6" t="s">
        <v>235</v>
      </c>
      <c r="H10" s="6" t="s">
        <v>343</v>
      </c>
      <c r="I10" s="6" t="s">
        <v>343</v>
      </c>
      <c r="J10" s="4" t="s">
        <v>508</v>
      </c>
      <c r="K10" s="4" t="s">
        <v>509</v>
      </c>
      <c r="L10" s="65" t="s">
        <v>510</v>
      </c>
      <c r="M10" s="6" t="s">
        <v>511</v>
      </c>
      <c r="N10" s="7" t="s">
        <v>347</v>
      </c>
      <c r="O10" s="27">
        <v>0.51458333333333328</v>
      </c>
      <c r="P10" s="6" t="s">
        <v>512</v>
      </c>
      <c r="Q10" s="36">
        <v>1445461</v>
      </c>
      <c r="R10" s="36">
        <v>47</v>
      </c>
      <c r="S10" s="54" t="s">
        <v>513</v>
      </c>
      <c r="T10" s="54"/>
      <c r="U10" s="6">
        <v>1</v>
      </c>
      <c r="V10" s="6">
        <v>0</v>
      </c>
      <c r="W10" s="6">
        <v>1</v>
      </c>
      <c r="X10" s="6">
        <v>3</v>
      </c>
      <c r="Y10" s="6">
        <v>2</v>
      </c>
      <c r="Z10" s="6">
        <v>0</v>
      </c>
      <c r="AA10" s="6">
        <v>0</v>
      </c>
      <c r="AB10" s="6">
        <v>2</v>
      </c>
      <c r="AC10" s="6">
        <v>2</v>
      </c>
      <c r="AD10" s="6">
        <v>1</v>
      </c>
      <c r="AE10" s="6">
        <v>3</v>
      </c>
      <c r="AF10" s="39">
        <f t="shared" si="0"/>
        <v>15</v>
      </c>
      <c r="AG10" s="6">
        <v>0</v>
      </c>
      <c r="AH10" s="6">
        <v>0</v>
      </c>
      <c r="AI10" s="6">
        <v>0</v>
      </c>
      <c r="AJ10" s="6">
        <v>0</v>
      </c>
      <c r="AK10" s="6">
        <v>0</v>
      </c>
      <c r="AL10" s="6">
        <v>0</v>
      </c>
      <c r="AM10" s="6">
        <v>1</v>
      </c>
      <c r="AN10" s="6">
        <v>2</v>
      </c>
      <c r="AO10" s="6">
        <v>0</v>
      </c>
      <c r="AP10" s="6">
        <v>2</v>
      </c>
      <c r="AQ10" s="6">
        <v>0</v>
      </c>
      <c r="AR10" s="6">
        <v>0</v>
      </c>
      <c r="AS10" s="6">
        <v>0</v>
      </c>
      <c r="AT10" s="6">
        <v>0</v>
      </c>
      <c r="AU10" s="6">
        <v>0</v>
      </c>
      <c r="AV10" s="6">
        <v>0</v>
      </c>
      <c r="AW10" s="6">
        <v>0</v>
      </c>
      <c r="AX10" s="40">
        <f t="shared" si="1"/>
        <v>5</v>
      </c>
      <c r="AY10" s="6">
        <v>0</v>
      </c>
      <c r="AZ10" s="6">
        <v>0</v>
      </c>
      <c r="BA10" s="6">
        <v>0</v>
      </c>
      <c r="BB10" s="36">
        <f t="shared" si="2"/>
        <v>0</v>
      </c>
      <c r="BC10" s="6">
        <v>0</v>
      </c>
      <c r="BD10" s="6">
        <v>0</v>
      </c>
      <c r="BE10" s="6">
        <v>0</v>
      </c>
      <c r="BF10" s="36">
        <f t="shared" si="3"/>
        <v>0</v>
      </c>
      <c r="BG10" s="6">
        <v>7</v>
      </c>
      <c r="BH10" s="6">
        <v>0</v>
      </c>
      <c r="BI10" s="6">
        <v>30</v>
      </c>
      <c r="BJ10" s="36">
        <f t="shared" si="4"/>
        <v>693</v>
      </c>
      <c r="BK10" s="6">
        <v>6</v>
      </c>
      <c r="BL10" s="6">
        <v>0</v>
      </c>
      <c r="BM10" s="36">
        <f t="shared" si="5"/>
        <v>2520</v>
      </c>
      <c r="BN10" s="33">
        <f t="shared" si="6"/>
        <v>693</v>
      </c>
      <c r="BP10" s="19"/>
      <c r="BQ10" s="7" t="s">
        <v>514</v>
      </c>
      <c r="BR10" s="27">
        <v>0.54166666666666663</v>
      </c>
      <c r="BS10" s="66" t="s">
        <v>503</v>
      </c>
      <c r="BT10" s="2">
        <v>1452399</v>
      </c>
      <c r="BU10" s="2">
        <v>47</v>
      </c>
      <c r="BV10" s="4" t="s">
        <v>515</v>
      </c>
      <c r="BW10" s="4"/>
      <c r="BX10" s="68">
        <v>0</v>
      </c>
      <c r="BY10" s="68">
        <v>0</v>
      </c>
      <c r="BZ10" s="68">
        <v>0</v>
      </c>
      <c r="CA10" s="68">
        <v>1</v>
      </c>
      <c r="CB10" s="68">
        <v>2</v>
      </c>
      <c r="CC10" s="68">
        <v>0</v>
      </c>
      <c r="CD10" s="68">
        <v>0</v>
      </c>
      <c r="CE10" s="68">
        <v>0</v>
      </c>
      <c r="CF10" s="68">
        <v>0</v>
      </c>
      <c r="CG10" s="68">
        <v>0</v>
      </c>
      <c r="CH10" s="68">
        <v>3</v>
      </c>
      <c r="CI10" s="31">
        <f>SUM(BX10:CH10)</f>
        <v>6</v>
      </c>
      <c r="CJ10" s="68">
        <v>0</v>
      </c>
      <c r="CK10" s="68">
        <v>0</v>
      </c>
      <c r="CL10" s="68">
        <v>0</v>
      </c>
      <c r="CM10" s="68">
        <v>0</v>
      </c>
      <c r="CN10" s="68">
        <v>1</v>
      </c>
      <c r="CO10" s="68">
        <v>0</v>
      </c>
      <c r="CP10" s="68">
        <v>0</v>
      </c>
      <c r="CQ10" s="68">
        <v>1</v>
      </c>
      <c r="CR10" s="68">
        <v>0</v>
      </c>
      <c r="CS10" s="68">
        <v>2</v>
      </c>
      <c r="CT10" s="68">
        <v>0</v>
      </c>
      <c r="CU10" s="68">
        <v>0</v>
      </c>
      <c r="CV10" s="68">
        <v>0</v>
      </c>
      <c r="CW10" s="68">
        <v>0</v>
      </c>
      <c r="CX10" s="68">
        <v>0</v>
      </c>
      <c r="CY10" s="68">
        <v>0</v>
      </c>
      <c r="CZ10" s="68">
        <v>1</v>
      </c>
      <c r="DA10" s="32">
        <f>SUM(CJ10:CZ10)</f>
        <v>5</v>
      </c>
      <c r="DB10" s="6">
        <v>0</v>
      </c>
      <c r="DC10" s="6">
        <v>0</v>
      </c>
      <c r="DD10" s="6">
        <v>0</v>
      </c>
      <c r="DE10" s="36">
        <f t="shared" si="29"/>
        <v>0</v>
      </c>
      <c r="DF10" s="6">
        <v>0</v>
      </c>
      <c r="DG10" s="6">
        <v>0</v>
      </c>
      <c r="DH10" s="6">
        <v>0</v>
      </c>
      <c r="DI10" s="36">
        <f t="shared" si="30"/>
        <v>0</v>
      </c>
      <c r="DJ10" s="6">
        <v>5</v>
      </c>
      <c r="DK10" s="6">
        <v>1</v>
      </c>
      <c r="DL10" s="6">
        <v>0</v>
      </c>
      <c r="DM10" s="36">
        <f t="shared" si="31"/>
        <v>990</v>
      </c>
      <c r="DN10" s="6">
        <v>5</v>
      </c>
      <c r="DO10" s="6">
        <v>0</v>
      </c>
      <c r="DP10" s="36">
        <f t="shared" si="32"/>
        <v>2100</v>
      </c>
      <c r="DQ10" s="33">
        <f t="shared" si="33"/>
        <v>990</v>
      </c>
      <c r="FH10" s="36">
        <f t="shared" si="36"/>
        <v>0</v>
      </c>
      <c r="FL10" s="36">
        <f t="shared" si="37"/>
        <v>0</v>
      </c>
      <c r="FP10" s="36">
        <f t="shared" si="38"/>
        <v>0</v>
      </c>
      <c r="FS10" s="36">
        <f t="shared" si="43"/>
        <v>0</v>
      </c>
      <c r="FT10" s="33">
        <f t="shared" si="44"/>
        <v>0</v>
      </c>
      <c r="HG10" s="9"/>
    </row>
    <row r="11" spans="1:250" ht="96.75" customHeight="1">
      <c r="A11" s="6" t="s">
        <v>231</v>
      </c>
      <c r="B11" s="30" t="s">
        <v>340</v>
      </c>
      <c r="C11" s="6" t="s">
        <v>516</v>
      </c>
      <c r="D11" s="65">
        <v>4642022</v>
      </c>
      <c r="E11" s="6" t="s">
        <v>517</v>
      </c>
      <c r="F11" s="6">
        <v>40</v>
      </c>
      <c r="G11" s="6" t="s">
        <v>235</v>
      </c>
      <c r="H11" s="4" t="s">
        <v>518</v>
      </c>
      <c r="I11" s="2" t="s">
        <v>287</v>
      </c>
      <c r="J11" s="2" t="s">
        <v>287</v>
      </c>
      <c r="K11" s="4" t="s">
        <v>519</v>
      </c>
      <c r="L11" s="37" t="s">
        <v>520</v>
      </c>
      <c r="M11" s="6" t="s">
        <v>239</v>
      </c>
      <c r="N11" s="7" t="s">
        <v>521</v>
      </c>
      <c r="O11" s="27">
        <v>0.6875</v>
      </c>
      <c r="P11" s="6" t="s">
        <v>512</v>
      </c>
      <c r="Q11" s="36">
        <v>1447708</v>
      </c>
      <c r="R11" s="36">
        <v>15</v>
      </c>
      <c r="S11" s="4" t="s">
        <v>522</v>
      </c>
      <c r="T11" s="4"/>
      <c r="U11" s="6">
        <v>2</v>
      </c>
      <c r="V11" s="6">
        <v>2</v>
      </c>
      <c r="W11" s="6">
        <v>2</v>
      </c>
      <c r="X11" s="6">
        <v>3</v>
      </c>
      <c r="Y11" s="6">
        <v>0</v>
      </c>
      <c r="Z11" s="6">
        <v>6</v>
      </c>
      <c r="AA11" s="6">
        <v>2</v>
      </c>
      <c r="AB11" s="6">
        <v>4</v>
      </c>
      <c r="AC11" s="6">
        <v>0</v>
      </c>
      <c r="AD11" s="6">
        <v>1</v>
      </c>
      <c r="AE11" s="6">
        <v>2</v>
      </c>
      <c r="AF11" s="39">
        <f t="shared" si="0"/>
        <v>24</v>
      </c>
      <c r="AG11" s="6">
        <v>0</v>
      </c>
      <c r="AH11" s="6">
        <v>0</v>
      </c>
      <c r="AI11" s="6">
        <v>0</v>
      </c>
      <c r="AJ11" s="6">
        <v>2</v>
      </c>
      <c r="AK11" s="6">
        <v>0</v>
      </c>
      <c r="AL11" s="6">
        <v>0</v>
      </c>
      <c r="AM11" s="6">
        <v>0</v>
      </c>
      <c r="AN11" s="6">
        <v>0</v>
      </c>
      <c r="AO11" s="6">
        <v>0</v>
      </c>
      <c r="AP11" s="6">
        <v>2</v>
      </c>
      <c r="AQ11" s="6">
        <v>0</v>
      </c>
      <c r="AR11" s="6">
        <v>0</v>
      </c>
      <c r="AS11" s="6">
        <v>0</v>
      </c>
      <c r="AT11" s="6">
        <v>0</v>
      </c>
      <c r="AU11" s="6">
        <v>0</v>
      </c>
      <c r="AV11" s="6">
        <v>0</v>
      </c>
      <c r="AW11" s="6">
        <v>1</v>
      </c>
      <c r="AX11" s="40">
        <f t="shared" si="1"/>
        <v>5</v>
      </c>
      <c r="AY11" s="6">
        <v>0</v>
      </c>
      <c r="AZ11" s="6">
        <v>0</v>
      </c>
      <c r="BA11" s="6">
        <v>0</v>
      </c>
      <c r="BB11" s="36">
        <f t="shared" si="2"/>
        <v>0</v>
      </c>
      <c r="BC11" s="6">
        <v>0</v>
      </c>
      <c r="BD11" s="6">
        <v>0</v>
      </c>
      <c r="BE11" s="6">
        <v>0</v>
      </c>
      <c r="BF11" s="36">
        <f t="shared" si="3"/>
        <v>0</v>
      </c>
      <c r="BG11" s="6">
        <v>7</v>
      </c>
      <c r="BH11" s="6">
        <v>1</v>
      </c>
      <c r="BI11" s="6">
        <v>0</v>
      </c>
      <c r="BJ11" s="36">
        <f t="shared" si="4"/>
        <v>1386</v>
      </c>
      <c r="BK11" s="6">
        <v>5</v>
      </c>
      <c r="BL11" s="6">
        <v>0</v>
      </c>
      <c r="BM11" s="36">
        <f t="shared" si="5"/>
        <v>2100</v>
      </c>
      <c r="BN11" s="33">
        <f t="shared" si="6"/>
        <v>1386</v>
      </c>
      <c r="BP11" s="18" t="s">
        <v>523</v>
      </c>
      <c r="BQ11" s="7" t="s">
        <v>256</v>
      </c>
      <c r="BR11" s="27">
        <v>0.45833333333333331</v>
      </c>
      <c r="BS11" s="66" t="s">
        <v>524</v>
      </c>
      <c r="BT11" s="6">
        <v>1457716</v>
      </c>
      <c r="BU11" s="6">
        <v>51</v>
      </c>
      <c r="BV11" s="4" t="s">
        <v>525</v>
      </c>
      <c r="BW11" s="4"/>
      <c r="BX11" s="6">
        <v>1</v>
      </c>
      <c r="BY11" s="6">
        <v>1</v>
      </c>
      <c r="BZ11" s="6">
        <v>0</v>
      </c>
      <c r="CA11" s="6">
        <v>1</v>
      </c>
      <c r="CB11" s="6">
        <v>0</v>
      </c>
      <c r="CC11" s="6">
        <v>2</v>
      </c>
      <c r="CD11" s="6">
        <v>0</v>
      </c>
      <c r="CE11" s="6">
        <v>0</v>
      </c>
      <c r="CF11" s="6">
        <v>0</v>
      </c>
      <c r="CG11" s="6">
        <v>1</v>
      </c>
      <c r="CH11" s="6">
        <v>2</v>
      </c>
      <c r="CI11" s="31">
        <f t="shared" si="7"/>
        <v>8</v>
      </c>
      <c r="CJ11" s="6">
        <v>0</v>
      </c>
      <c r="CK11" s="6">
        <v>0</v>
      </c>
      <c r="CL11" s="6">
        <v>0</v>
      </c>
      <c r="CM11" s="6">
        <v>1</v>
      </c>
      <c r="CN11" s="6">
        <v>1</v>
      </c>
      <c r="CO11" s="6">
        <v>1</v>
      </c>
      <c r="CP11" s="6">
        <v>0</v>
      </c>
      <c r="CQ11" s="6">
        <v>0</v>
      </c>
      <c r="CR11" s="6">
        <v>0</v>
      </c>
      <c r="CS11" s="6">
        <v>0</v>
      </c>
      <c r="CT11" s="6">
        <v>0</v>
      </c>
      <c r="CU11" s="6">
        <v>0</v>
      </c>
      <c r="CV11" s="6">
        <v>0</v>
      </c>
      <c r="CW11" s="6">
        <v>0</v>
      </c>
      <c r="CX11" s="6">
        <v>0</v>
      </c>
      <c r="CY11" s="6">
        <v>0</v>
      </c>
      <c r="CZ11" s="6">
        <v>1</v>
      </c>
      <c r="DA11" s="32">
        <f t="shared" si="28"/>
        <v>4</v>
      </c>
      <c r="DB11" s="6">
        <v>1</v>
      </c>
      <c r="DC11" s="6">
        <v>0</v>
      </c>
      <c r="DD11" s="6">
        <v>30</v>
      </c>
      <c r="DE11" s="36">
        <f t="shared" si="29"/>
        <v>240</v>
      </c>
      <c r="DF11" s="6">
        <v>0</v>
      </c>
      <c r="DG11" s="6">
        <v>0</v>
      </c>
      <c r="DH11" s="6">
        <v>0</v>
      </c>
      <c r="DI11" s="36">
        <f t="shared" si="30"/>
        <v>0</v>
      </c>
      <c r="DJ11" s="6">
        <v>7</v>
      </c>
      <c r="DK11" s="6">
        <v>2</v>
      </c>
      <c r="DL11" s="6">
        <v>0</v>
      </c>
      <c r="DM11" s="36">
        <f t="shared" si="31"/>
        <v>2772</v>
      </c>
      <c r="DN11" s="6">
        <v>4</v>
      </c>
      <c r="DO11" s="6">
        <v>0</v>
      </c>
      <c r="DP11" s="36">
        <f t="shared" si="32"/>
        <v>1680</v>
      </c>
      <c r="DQ11" s="33">
        <f t="shared" si="33"/>
        <v>3012</v>
      </c>
      <c r="DS11" s="18" t="s">
        <v>526</v>
      </c>
      <c r="DT11" s="7" t="s">
        <v>527</v>
      </c>
      <c r="DU11" s="27">
        <v>0.45833333333333331</v>
      </c>
      <c r="DV11" s="6" t="s">
        <v>524</v>
      </c>
      <c r="DW11" s="6">
        <v>1470441</v>
      </c>
      <c r="DX11" s="6">
        <v>51</v>
      </c>
      <c r="DY11" s="4" t="s">
        <v>528</v>
      </c>
      <c r="EA11" s="6">
        <v>0</v>
      </c>
      <c r="EB11" s="6">
        <v>1</v>
      </c>
      <c r="EC11" s="6">
        <v>0</v>
      </c>
      <c r="ED11" s="6">
        <v>1</v>
      </c>
      <c r="EE11" s="6">
        <v>0</v>
      </c>
      <c r="EF11" s="6">
        <v>0</v>
      </c>
      <c r="EG11" s="6">
        <v>0</v>
      </c>
      <c r="EH11" s="6">
        <v>0</v>
      </c>
      <c r="EI11" s="6">
        <v>0</v>
      </c>
      <c r="EJ11" s="6">
        <v>0</v>
      </c>
      <c r="EK11" s="6">
        <v>0</v>
      </c>
      <c r="EL11" s="31">
        <f t="shared" si="41"/>
        <v>2</v>
      </c>
      <c r="EM11" s="6">
        <v>0</v>
      </c>
      <c r="EN11" s="6">
        <v>0</v>
      </c>
      <c r="EO11" s="6">
        <v>0</v>
      </c>
      <c r="EP11" s="6">
        <v>1</v>
      </c>
      <c r="EQ11" s="6">
        <v>1</v>
      </c>
      <c r="ER11" s="6">
        <v>1</v>
      </c>
      <c r="ES11" s="6">
        <v>1</v>
      </c>
      <c r="ET11" s="6">
        <v>0</v>
      </c>
      <c r="EU11" s="6">
        <v>0</v>
      </c>
      <c r="EV11" s="6">
        <v>0</v>
      </c>
      <c r="EW11" s="6">
        <v>0</v>
      </c>
      <c r="EX11" s="6">
        <v>0</v>
      </c>
      <c r="EY11" s="6">
        <v>0</v>
      </c>
      <c r="EZ11" s="6">
        <v>0</v>
      </c>
      <c r="FA11" s="6">
        <v>0</v>
      </c>
      <c r="FB11" s="6">
        <v>0</v>
      </c>
      <c r="FC11" s="6">
        <v>0</v>
      </c>
      <c r="FD11" s="32">
        <f t="shared" si="42"/>
        <v>4</v>
      </c>
      <c r="FE11" s="6">
        <v>0</v>
      </c>
      <c r="FF11" s="6">
        <v>0</v>
      </c>
      <c r="FG11" s="6">
        <v>0</v>
      </c>
      <c r="FH11" s="36">
        <f t="shared" si="36"/>
        <v>0</v>
      </c>
      <c r="FI11" s="6">
        <v>3</v>
      </c>
      <c r="FJ11" s="6">
        <v>0</v>
      </c>
      <c r="FK11" s="6">
        <v>25</v>
      </c>
      <c r="FL11" s="36">
        <f t="shared" si="37"/>
        <v>300</v>
      </c>
      <c r="FM11" s="6">
        <v>7</v>
      </c>
      <c r="FN11" s="6">
        <v>1</v>
      </c>
      <c r="FO11" s="6">
        <v>0</v>
      </c>
      <c r="FP11" s="36">
        <f t="shared" si="38"/>
        <v>1386</v>
      </c>
      <c r="FQ11" s="6">
        <v>6</v>
      </c>
      <c r="FR11" s="6">
        <v>0</v>
      </c>
      <c r="FS11" s="36">
        <f t="shared" si="43"/>
        <v>2520</v>
      </c>
      <c r="FT11" s="33">
        <f t="shared" si="44"/>
        <v>1686</v>
      </c>
      <c r="FU11" s="14" t="s">
        <v>239</v>
      </c>
      <c r="FV11" s="17" t="s">
        <v>239</v>
      </c>
      <c r="HG11" s="9"/>
    </row>
    <row r="12" spans="1:250" s="26" customFormat="1" ht="79.5" customHeight="1">
      <c r="A12" s="61" t="s">
        <v>529</v>
      </c>
      <c r="B12" s="30" t="s">
        <v>310</v>
      </c>
      <c r="C12" s="107" t="s">
        <v>530</v>
      </c>
      <c r="D12" s="65">
        <v>68162</v>
      </c>
      <c r="E12" s="61" t="s">
        <v>531</v>
      </c>
      <c r="F12" s="61">
        <v>58</v>
      </c>
      <c r="G12" s="107" t="s">
        <v>235</v>
      </c>
      <c r="H12" s="107" t="s">
        <v>532</v>
      </c>
      <c r="I12" s="61" t="s">
        <v>343</v>
      </c>
      <c r="J12" s="107" t="s">
        <v>533</v>
      </c>
      <c r="K12" s="107" t="s">
        <v>534</v>
      </c>
      <c r="L12" s="130" t="s">
        <v>510</v>
      </c>
      <c r="M12" s="61" t="s">
        <v>239</v>
      </c>
      <c r="N12" s="69" t="s">
        <v>337</v>
      </c>
      <c r="O12" s="112">
        <v>0.54166666666666663</v>
      </c>
      <c r="P12" s="107" t="s">
        <v>503</v>
      </c>
      <c r="Q12" s="36">
        <v>1458996</v>
      </c>
      <c r="R12" s="36">
        <v>53</v>
      </c>
      <c r="S12" s="107" t="s">
        <v>535</v>
      </c>
      <c r="T12" s="107"/>
      <c r="U12" s="61">
        <v>2</v>
      </c>
      <c r="V12" s="61">
        <v>2</v>
      </c>
      <c r="W12" s="61">
        <v>1</v>
      </c>
      <c r="X12" s="61">
        <v>1</v>
      </c>
      <c r="Y12" s="61">
        <v>2</v>
      </c>
      <c r="Z12" s="61">
        <v>6</v>
      </c>
      <c r="AA12" s="61">
        <v>2</v>
      </c>
      <c r="AB12" s="61">
        <v>2</v>
      </c>
      <c r="AC12" s="61">
        <v>0</v>
      </c>
      <c r="AD12" s="61">
        <v>1</v>
      </c>
      <c r="AE12" s="61">
        <v>3</v>
      </c>
      <c r="AF12" s="39">
        <f t="shared" si="0"/>
        <v>22</v>
      </c>
      <c r="AG12" s="61">
        <v>0</v>
      </c>
      <c r="AH12" s="61">
        <v>0</v>
      </c>
      <c r="AI12" s="61">
        <v>0</v>
      </c>
      <c r="AJ12" s="61">
        <v>0</v>
      </c>
      <c r="AK12" s="61">
        <v>2</v>
      </c>
      <c r="AL12" s="61">
        <v>0</v>
      </c>
      <c r="AM12" s="61">
        <v>0</v>
      </c>
      <c r="AN12" s="61">
        <v>0</v>
      </c>
      <c r="AO12" s="61">
        <v>0</v>
      </c>
      <c r="AP12" s="61">
        <v>2</v>
      </c>
      <c r="AQ12" s="61">
        <v>0</v>
      </c>
      <c r="AR12" s="61">
        <v>0</v>
      </c>
      <c r="AS12" s="61">
        <v>0</v>
      </c>
      <c r="AT12" s="61">
        <v>0</v>
      </c>
      <c r="AU12" s="61">
        <v>0</v>
      </c>
      <c r="AV12" s="61">
        <v>0</v>
      </c>
      <c r="AW12" s="61">
        <v>1</v>
      </c>
      <c r="AX12" s="40">
        <f t="shared" si="1"/>
        <v>5</v>
      </c>
      <c r="AY12" s="61">
        <v>0</v>
      </c>
      <c r="AZ12" s="61">
        <v>0</v>
      </c>
      <c r="BA12" s="61">
        <v>0</v>
      </c>
      <c r="BB12" s="36">
        <f t="shared" si="2"/>
        <v>0</v>
      </c>
      <c r="BC12" s="61">
        <v>0</v>
      </c>
      <c r="BD12" s="61">
        <v>0</v>
      </c>
      <c r="BE12" s="61">
        <v>0</v>
      </c>
      <c r="BF12" s="36">
        <f t="shared" si="3"/>
        <v>0</v>
      </c>
      <c r="BG12" s="61">
        <v>7</v>
      </c>
      <c r="BH12" s="61">
        <v>2</v>
      </c>
      <c r="BI12" s="61">
        <v>0</v>
      </c>
      <c r="BJ12" s="36">
        <f t="shared" si="4"/>
        <v>2772</v>
      </c>
      <c r="BK12" s="61">
        <v>8</v>
      </c>
      <c r="BL12" s="61">
        <v>0</v>
      </c>
      <c r="BM12" s="36">
        <f t="shared" si="5"/>
        <v>3360</v>
      </c>
      <c r="BN12" s="33">
        <f t="shared" si="6"/>
        <v>2772</v>
      </c>
      <c r="BO12" s="81"/>
      <c r="BP12" s="82"/>
      <c r="BQ12" s="69" t="s">
        <v>536</v>
      </c>
      <c r="BR12" s="112">
        <v>0.45833333333333331</v>
      </c>
      <c r="BS12" s="66" t="s">
        <v>328</v>
      </c>
      <c r="BT12" s="6">
        <v>1461909</v>
      </c>
      <c r="BU12" s="61">
        <v>46</v>
      </c>
      <c r="BV12" s="107" t="s">
        <v>537</v>
      </c>
      <c r="BW12" s="107"/>
      <c r="BX12" s="61"/>
      <c r="BY12" s="61"/>
      <c r="BZ12" s="61"/>
      <c r="CA12" s="61"/>
      <c r="CB12" s="61"/>
      <c r="CC12" s="61"/>
      <c r="CD12" s="61"/>
      <c r="CE12" s="61"/>
      <c r="CF12" s="61"/>
      <c r="CG12" s="61"/>
      <c r="CH12" s="61"/>
      <c r="CI12" s="31">
        <f t="shared" si="7"/>
        <v>0</v>
      </c>
      <c r="CJ12" s="61"/>
      <c r="CK12" s="61"/>
      <c r="CL12" s="61"/>
      <c r="CM12" s="61"/>
      <c r="CN12" s="61"/>
      <c r="CO12" s="61"/>
      <c r="CP12" s="61"/>
      <c r="CQ12" s="61"/>
      <c r="CR12" s="61"/>
      <c r="CS12" s="61"/>
      <c r="CT12" s="61"/>
      <c r="CU12" s="61"/>
      <c r="CV12" s="61"/>
      <c r="CW12" s="61"/>
      <c r="CX12" s="61"/>
      <c r="CY12" s="61"/>
      <c r="CZ12" s="61"/>
      <c r="DA12" s="32">
        <f t="shared" si="28"/>
        <v>0</v>
      </c>
      <c r="DB12" s="61"/>
      <c r="DC12" s="61"/>
      <c r="DD12" s="61"/>
      <c r="DE12" s="36">
        <f t="shared" si="29"/>
        <v>0</v>
      </c>
      <c r="DF12" s="61"/>
      <c r="DG12" s="61"/>
      <c r="DH12" s="61"/>
      <c r="DI12" s="36">
        <f t="shared" si="30"/>
        <v>0</v>
      </c>
      <c r="DJ12" s="61"/>
      <c r="DK12" s="61"/>
      <c r="DL12" s="61"/>
      <c r="DM12" s="36">
        <f t="shared" si="31"/>
        <v>0</v>
      </c>
      <c r="DN12" s="61"/>
      <c r="DO12" s="61"/>
      <c r="DP12" s="36">
        <f t="shared" si="32"/>
        <v>0</v>
      </c>
      <c r="DQ12" s="33">
        <f t="shared" si="33"/>
        <v>0</v>
      </c>
      <c r="DR12" s="80"/>
      <c r="DS12" s="90"/>
      <c r="DT12" s="69"/>
      <c r="DU12" s="61"/>
      <c r="DV12" s="61"/>
      <c r="DW12" s="61"/>
      <c r="DX12" s="61"/>
      <c r="DY12" s="61"/>
      <c r="DZ12" s="61"/>
      <c r="EA12" s="61"/>
      <c r="EB12" s="61"/>
      <c r="EC12" s="61"/>
      <c r="ED12" s="61"/>
      <c r="EE12" s="61"/>
      <c r="EF12" s="61"/>
      <c r="EG12" s="61"/>
      <c r="EH12" s="61"/>
      <c r="EI12" s="61"/>
      <c r="EJ12" s="61"/>
      <c r="EK12" s="61"/>
      <c r="EL12" s="83"/>
      <c r="EM12" s="61"/>
      <c r="EN12" s="61"/>
      <c r="EO12" s="61"/>
      <c r="EP12" s="61"/>
      <c r="EQ12" s="61"/>
      <c r="ER12" s="61"/>
      <c r="ES12" s="61"/>
      <c r="ET12" s="61"/>
      <c r="EU12" s="61"/>
      <c r="EV12" s="61"/>
      <c r="EW12" s="61"/>
      <c r="EX12" s="61"/>
      <c r="EY12" s="61"/>
      <c r="EZ12" s="61"/>
      <c r="FA12" s="61"/>
      <c r="FB12" s="61"/>
      <c r="FC12" s="61"/>
      <c r="FD12" s="84"/>
      <c r="FE12" s="61"/>
      <c r="FF12" s="61"/>
      <c r="FG12" s="61"/>
      <c r="FH12" s="36">
        <f t="shared" si="36"/>
        <v>0</v>
      </c>
      <c r="FI12" s="61"/>
      <c r="FJ12" s="61"/>
      <c r="FK12" s="61"/>
      <c r="FL12" s="36">
        <f t="shared" si="37"/>
        <v>0</v>
      </c>
      <c r="FM12" s="61"/>
      <c r="FN12" s="61"/>
      <c r="FO12" s="61"/>
      <c r="FP12" s="36">
        <f t="shared" si="38"/>
        <v>0</v>
      </c>
      <c r="FQ12" s="61"/>
      <c r="FR12" s="61"/>
      <c r="FS12" s="36">
        <f t="shared" si="43"/>
        <v>0</v>
      </c>
      <c r="FT12" s="33">
        <f t="shared" si="44"/>
        <v>0</v>
      </c>
      <c r="FU12" s="80"/>
      <c r="FV12" s="90"/>
      <c r="FW12" s="69"/>
      <c r="FX12" s="61"/>
      <c r="FY12" s="61"/>
      <c r="FZ12" s="61"/>
      <c r="GA12" s="61"/>
      <c r="GB12" s="61"/>
      <c r="GC12" s="61"/>
      <c r="GD12" s="61"/>
      <c r="GE12" s="61"/>
      <c r="GF12" s="61"/>
      <c r="GG12" s="61"/>
      <c r="GH12" s="61"/>
      <c r="GI12" s="61"/>
      <c r="GJ12" s="61"/>
      <c r="GK12" s="61"/>
      <c r="GL12" s="61"/>
      <c r="GM12" s="61"/>
      <c r="GN12" s="61"/>
      <c r="GO12" s="83"/>
      <c r="GP12" s="61"/>
      <c r="GQ12" s="61"/>
      <c r="GR12" s="61"/>
      <c r="GS12" s="61"/>
      <c r="GT12" s="61"/>
      <c r="GU12" s="61"/>
      <c r="GV12" s="61"/>
      <c r="GW12" s="61"/>
      <c r="GX12" s="61"/>
      <c r="GY12" s="61"/>
      <c r="GZ12" s="61"/>
      <c r="HA12" s="61"/>
      <c r="HB12" s="61"/>
      <c r="HC12" s="61"/>
      <c r="HD12" s="61"/>
      <c r="HE12" s="61"/>
      <c r="HF12" s="61"/>
      <c r="HG12" s="119"/>
      <c r="HH12" s="61"/>
      <c r="HI12" s="61"/>
      <c r="HJ12" s="61"/>
      <c r="HK12" s="61"/>
      <c r="HL12" s="61"/>
      <c r="HM12" s="61"/>
      <c r="HN12" s="61"/>
      <c r="HO12" s="61"/>
      <c r="HP12" s="61"/>
      <c r="HQ12" s="61"/>
      <c r="HR12" s="61"/>
      <c r="HS12" s="61"/>
      <c r="HT12" s="61"/>
      <c r="HU12" s="61"/>
      <c r="HV12" s="61"/>
      <c r="HW12" s="80"/>
      <c r="HX12" s="80"/>
      <c r="HY12" s="82"/>
      <c r="HZ12" s="61"/>
      <c r="IA12" s="61"/>
    </row>
    <row r="13" spans="1:250" s="26" customFormat="1" ht="89.25" customHeight="1">
      <c r="A13" s="61" t="s">
        <v>529</v>
      </c>
      <c r="B13" s="30" t="s">
        <v>310</v>
      </c>
      <c r="C13" s="61" t="s">
        <v>538</v>
      </c>
      <c r="D13" s="65">
        <v>5280071</v>
      </c>
      <c r="E13" s="61" t="s">
        <v>539</v>
      </c>
      <c r="F13" s="61">
        <v>27</v>
      </c>
      <c r="G13" s="107" t="s">
        <v>300</v>
      </c>
      <c r="H13" s="61" t="s">
        <v>343</v>
      </c>
      <c r="I13" s="61" t="s">
        <v>343</v>
      </c>
      <c r="J13" s="61" t="s">
        <v>237</v>
      </c>
      <c r="K13" s="107" t="s">
        <v>540</v>
      </c>
      <c r="L13" s="78" t="s">
        <v>478</v>
      </c>
      <c r="M13" s="61" t="s">
        <v>239</v>
      </c>
      <c r="N13" s="69" t="s">
        <v>541</v>
      </c>
      <c r="O13" s="112">
        <v>0.53333333333333333</v>
      </c>
      <c r="P13" s="107" t="s">
        <v>335</v>
      </c>
      <c r="Q13" s="36">
        <v>1458928</v>
      </c>
      <c r="R13" s="36">
        <v>48</v>
      </c>
      <c r="S13" s="107" t="s">
        <v>542</v>
      </c>
      <c r="T13" s="107"/>
      <c r="U13" s="61">
        <v>2</v>
      </c>
      <c r="V13" s="61">
        <v>0</v>
      </c>
      <c r="W13" s="61">
        <v>0</v>
      </c>
      <c r="X13" s="61">
        <v>1</v>
      </c>
      <c r="Y13" s="61">
        <v>2</v>
      </c>
      <c r="Z13" s="61">
        <v>4</v>
      </c>
      <c r="AA13" s="61">
        <v>2</v>
      </c>
      <c r="AB13" s="61">
        <v>0</v>
      </c>
      <c r="AC13" s="61">
        <v>0</v>
      </c>
      <c r="AD13" s="61">
        <v>1</v>
      </c>
      <c r="AE13" s="61">
        <v>0</v>
      </c>
      <c r="AF13" s="39">
        <f t="shared" si="0"/>
        <v>12</v>
      </c>
      <c r="AG13" s="61">
        <v>0</v>
      </c>
      <c r="AH13" s="61">
        <v>0</v>
      </c>
      <c r="AI13" s="61">
        <v>0</v>
      </c>
      <c r="AJ13" s="61">
        <v>1</v>
      </c>
      <c r="AK13" s="61">
        <v>0</v>
      </c>
      <c r="AL13" s="61">
        <v>0</v>
      </c>
      <c r="AM13" s="61">
        <v>1</v>
      </c>
      <c r="AN13" s="61">
        <v>0</v>
      </c>
      <c r="AO13" s="61">
        <v>0</v>
      </c>
      <c r="AP13" s="61">
        <v>2</v>
      </c>
      <c r="AQ13" s="61">
        <v>0</v>
      </c>
      <c r="AR13" s="61">
        <v>0</v>
      </c>
      <c r="AS13" s="61">
        <v>0</v>
      </c>
      <c r="AT13" s="61">
        <v>0</v>
      </c>
      <c r="AU13" s="61">
        <v>0</v>
      </c>
      <c r="AV13" s="61">
        <v>0</v>
      </c>
      <c r="AW13" s="61">
        <v>0</v>
      </c>
      <c r="AX13" s="40">
        <f t="shared" si="1"/>
        <v>4</v>
      </c>
      <c r="AY13" s="61">
        <v>0</v>
      </c>
      <c r="AZ13" s="61">
        <v>0</v>
      </c>
      <c r="BA13" s="61">
        <v>0</v>
      </c>
      <c r="BB13" s="36">
        <f t="shared" si="2"/>
        <v>0</v>
      </c>
      <c r="BC13" s="61">
        <v>0</v>
      </c>
      <c r="BD13" s="61">
        <v>0</v>
      </c>
      <c r="BE13" s="61">
        <v>0</v>
      </c>
      <c r="BF13" s="36">
        <f t="shared" si="3"/>
        <v>0</v>
      </c>
      <c r="BG13" s="61">
        <v>5</v>
      </c>
      <c r="BH13" s="61">
        <v>0</v>
      </c>
      <c r="BI13" s="61">
        <v>10</v>
      </c>
      <c r="BJ13" s="36">
        <f t="shared" si="4"/>
        <v>165</v>
      </c>
      <c r="BK13" s="61">
        <v>10</v>
      </c>
      <c r="BL13" s="61">
        <v>0</v>
      </c>
      <c r="BM13" s="36">
        <f t="shared" si="5"/>
        <v>4200</v>
      </c>
      <c r="BN13" s="33">
        <f t="shared" si="6"/>
        <v>165</v>
      </c>
      <c r="BO13" s="81"/>
      <c r="BP13" s="82"/>
      <c r="BQ13" s="69" t="s">
        <v>360</v>
      </c>
      <c r="BR13" s="112">
        <v>0.46527777777777773</v>
      </c>
      <c r="BS13" s="6" t="s">
        <v>335</v>
      </c>
      <c r="BT13" s="6">
        <v>1468655</v>
      </c>
      <c r="BU13" s="6">
        <v>49</v>
      </c>
      <c r="BV13" s="107" t="s">
        <v>543</v>
      </c>
      <c r="BW13" s="107"/>
      <c r="BX13" s="61">
        <v>0</v>
      </c>
      <c r="BY13" s="61">
        <v>0</v>
      </c>
      <c r="BZ13" s="61">
        <v>0</v>
      </c>
      <c r="CA13" s="61">
        <v>0</v>
      </c>
      <c r="CB13" s="61">
        <v>2</v>
      </c>
      <c r="CC13" s="61">
        <v>0</v>
      </c>
      <c r="CD13" s="61">
        <v>0</v>
      </c>
      <c r="CE13" s="61">
        <v>2</v>
      </c>
      <c r="CF13" s="61">
        <v>0</v>
      </c>
      <c r="CG13" s="61">
        <v>2</v>
      </c>
      <c r="CH13" s="61">
        <v>1</v>
      </c>
      <c r="CI13" s="31">
        <f t="shared" si="7"/>
        <v>7</v>
      </c>
      <c r="CJ13" s="61">
        <v>0</v>
      </c>
      <c r="CK13" s="61">
        <v>0</v>
      </c>
      <c r="CL13" s="61">
        <v>0</v>
      </c>
      <c r="CM13" s="61">
        <v>0</v>
      </c>
      <c r="CN13" s="61">
        <v>0</v>
      </c>
      <c r="CO13" s="61">
        <v>0</v>
      </c>
      <c r="CP13" s="61">
        <v>0</v>
      </c>
      <c r="CQ13" s="61">
        <v>1</v>
      </c>
      <c r="CR13" s="61">
        <v>0</v>
      </c>
      <c r="CS13" s="61">
        <v>2</v>
      </c>
      <c r="CT13" s="61">
        <v>0</v>
      </c>
      <c r="CU13" s="61">
        <v>0</v>
      </c>
      <c r="CV13" s="61">
        <v>0</v>
      </c>
      <c r="CW13" s="61">
        <v>0</v>
      </c>
      <c r="CX13" s="61">
        <v>0</v>
      </c>
      <c r="CY13" s="61">
        <v>0</v>
      </c>
      <c r="CZ13" s="61">
        <v>1</v>
      </c>
      <c r="DA13" s="32">
        <f t="shared" si="28"/>
        <v>4</v>
      </c>
      <c r="DB13" s="61">
        <v>0</v>
      </c>
      <c r="DC13" s="61">
        <v>0</v>
      </c>
      <c r="DD13" s="61">
        <v>0</v>
      </c>
      <c r="DE13" s="36">
        <f t="shared" si="29"/>
        <v>0</v>
      </c>
      <c r="DF13" s="61">
        <v>0</v>
      </c>
      <c r="DG13" s="61">
        <v>0</v>
      </c>
      <c r="DH13" s="61">
        <v>0</v>
      </c>
      <c r="DI13" s="36">
        <f t="shared" si="30"/>
        <v>0</v>
      </c>
      <c r="DJ13" s="61">
        <v>7</v>
      </c>
      <c r="DK13" s="61">
        <v>0</v>
      </c>
      <c r="DL13" s="61">
        <v>10</v>
      </c>
      <c r="DM13" s="36">
        <f t="shared" si="31"/>
        <v>231</v>
      </c>
      <c r="DN13" s="61">
        <v>12</v>
      </c>
      <c r="DO13" s="61">
        <v>0</v>
      </c>
      <c r="DP13" s="36">
        <f t="shared" si="32"/>
        <v>5040</v>
      </c>
      <c r="DQ13" s="33">
        <f t="shared" si="33"/>
        <v>231</v>
      </c>
      <c r="DR13" s="87"/>
      <c r="DS13" s="89"/>
      <c r="DT13" s="86"/>
      <c r="DU13" s="111"/>
      <c r="DV13" s="111"/>
      <c r="DW13" s="111"/>
      <c r="DX13" s="111"/>
      <c r="DY13" s="111"/>
      <c r="DZ13" s="111"/>
      <c r="EA13" s="111"/>
      <c r="EB13" s="111"/>
      <c r="EC13" s="111"/>
      <c r="ED13" s="111"/>
      <c r="EE13" s="111"/>
      <c r="EF13" s="111"/>
      <c r="EG13" s="111"/>
      <c r="EH13" s="111"/>
      <c r="EI13" s="111"/>
      <c r="EJ13" s="111"/>
      <c r="EK13" s="111"/>
      <c r="EL13" s="83"/>
      <c r="EM13" s="111"/>
      <c r="EN13" s="111"/>
      <c r="EO13" s="111"/>
      <c r="EP13" s="111"/>
      <c r="EQ13" s="111"/>
      <c r="ER13" s="111"/>
      <c r="ES13" s="111"/>
      <c r="ET13" s="111"/>
      <c r="EU13" s="111"/>
      <c r="EV13" s="111"/>
      <c r="EW13" s="111"/>
      <c r="EX13" s="111"/>
      <c r="EY13" s="111"/>
      <c r="EZ13" s="111"/>
      <c r="FA13" s="111"/>
      <c r="FB13" s="111"/>
      <c r="FC13" s="111"/>
      <c r="FD13" s="84"/>
      <c r="FE13" s="111"/>
      <c r="FF13" s="111"/>
      <c r="FG13" s="111"/>
      <c r="FH13" s="36">
        <f t="shared" si="36"/>
        <v>0</v>
      </c>
      <c r="FI13" s="111"/>
      <c r="FJ13" s="111"/>
      <c r="FK13" s="111"/>
      <c r="FL13" s="36">
        <f t="shared" si="37"/>
        <v>0</v>
      </c>
      <c r="FM13" s="61"/>
      <c r="FN13" s="61"/>
      <c r="FO13" s="61"/>
      <c r="FP13" s="36">
        <f t="shared" si="38"/>
        <v>0</v>
      </c>
      <c r="FQ13" s="61"/>
      <c r="FR13" s="61"/>
      <c r="FS13" s="61"/>
      <c r="FT13" s="33">
        <f t="shared" si="44"/>
        <v>0</v>
      </c>
      <c r="FU13" s="87"/>
      <c r="FV13" s="89"/>
      <c r="FW13" s="86"/>
      <c r="FX13" s="111"/>
      <c r="FY13" s="111"/>
      <c r="FZ13" s="111"/>
      <c r="GA13" s="111"/>
      <c r="GB13" s="111"/>
      <c r="GC13" s="111"/>
      <c r="GD13" s="111"/>
      <c r="GE13" s="111"/>
      <c r="GF13" s="111"/>
      <c r="GG13" s="111"/>
      <c r="GH13" s="111"/>
      <c r="GI13" s="111"/>
      <c r="GJ13" s="111"/>
      <c r="GK13" s="111"/>
      <c r="GL13" s="111"/>
      <c r="GM13" s="111"/>
      <c r="GN13" s="111"/>
      <c r="GO13" s="83"/>
      <c r="GP13" s="111"/>
      <c r="GQ13" s="111"/>
      <c r="GR13" s="111"/>
      <c r="GS13" s="111"/>
      <c r="GT13" s="111"/>
      <c r="GU13" s="111"/>
      <c r="GV13" s="111"/>
      <c r="GW13" s="111"/>
      <c r="GX13" s="111"/>
      <c r="GY13" s="111"/>
      <c r="GZ13" s="111"/>
      <c r="HA13" s="111"/>
      <c r="HB13" s="111"/>
      <c r="HC13" s="111"/>
      <c r="HD13" s="111"/>
      <c r="HE13" s="111"/>
      <c r="HF13" s="111"/>
      <c r="HG13" s="119"/>
      <c r="HH13" s="111"/>
      <c r="HI13" s="111"/>
      <c r="HJ13" s="111"/>
      <c r="HK13" s="61"/>
      <c r="HL13" s="111"/>
      <c r="HM13" s="111"/>
      <c r="HN13" s="111"/>
      <c r="HO13" s="61"/>
      <c r="HP13" s="111"/>
      <c r="HQ13" s="111"/>
      <c r="HR13" s="111"/>
      <c r="HS13" s="61"/>
      <c r="HT13" s="111"/>
      <c r="HU13" s="111"/>
      <c r="HV13" s="61"/>
      <c r="HW13" s="80"/>
      <c r="HX13" s="87"/>
      <c r="HY13" s="82"/>
      <c r="HZ13" s="109"/>
      <c r="IA13" s="61"/>
    </row>
    <row r="14" spans="1:250" s="26" customFormat="1" ht="63.75" customHeight="1">
      <c r="A14" s="61" t="s">
        <v>544</v>
      </c>
      <c r="B14" s="30" t="s">
        <v>310</v>
      </c>
      <c r="C14" s="61" t="s">
        <v>545</v>
      </c>
      <c r="D14" s="65">
        <v>4987873</v>
      </c>
      <c r="E14" s="61" t="s">
        <v>546</v>
      </c>
      <c r="F14" s="61">
        <v>47</v>
      </c>
      <c r="G14" s="107" t="s">
        <v>300</v>
      </c>
      <c r="H14" s="107" t="s">
        <v>547</v>
      </c>
      <c r="I14" s="61" t="s">
        <v>343</v>
      </c>
      <c r="J14" s="61" t="s">
        <v>237</v>
      </c>
      <c r="K14" s="107" t="s">
        <v>548</v>
      </c>
      <c r="L14" s="130" t="s">
        <v>510</v>
      </c>
      <c r="M14" s="61" t="s">
        <v>239</v>
      </c>
      <c r="N14" s="69" t="s">
        <v>549</v>
      </c>
      <c r="O14" s="112">
        <v>0.5</v>
      </c>
      <c r="P14" s="6" t="s">
        <v>335</v>
      </c>
      <c r="Q14" s="36">
        <v>1471935</v>
      </c>
      <c r="R14" s="36">
        <v>49</v>
      </c>
      <c r="S14" s="107" t="s">
        <v>550</v>
      </c>
      <c r="T14" s="107"/>
      <c r="U14" s="61">
        <v>3</v>
      </c>
      <c r="V14" s="61">
        <v>3</v>
      </c>
      <c r="W14" s="61">
        <v>1</v>
      </c>
      <c r="X14" s="61">
        <v>3</v>
      </c>
      <c r="Y14" s="61">
        <v>0</v>
      </c>
      <c r="Z14" s="61">
        <v>6</v>
      </c>
      <c r="AA14" s="61">
        <v>2</v>
      </c>
      <c r="AB14" s="61">
        <v>6</v>
      </c>
      <c r="AC14" s="61">
        <v>0</v>
      </c>
      <c r="AD14" s="61">
        <v>1</v>
      </c>
      <c r="AE14" s="61">
        <v>1</v>
      </c>
      <c r="AF14" s="39">
        <f t="shared" si="0"/>
        <v>26</v>
      </c>
      <c r="AG14" s="61">
        <v>0</v>
      </c>
      <c r="AH14" s="61">
        <v>0</v>
      </c>
      <c r="AI14" s="61">
        <v>0</v>
      </c>
      <c r="AJ14" s="61">
        <v>2</v>
      </c>
      <c r="AK14" s="61">
        <v>2</v>
      </c>
      <c r="AL14" s="61">
        <v>0</v>
      </c>
      <c r="AM14" s="61">
        <v>0</v>
      </c>
      <c r="AN14" s="61">
        <v>0</v>
      </c>
      <c r="AO14" s="61">
        <v>1</v>
      </c>
      <c r="AP14" s="61">
        <v>0</v>
      </c>
      <c r="AQ14" s="61">
        <v>0</v>
      </c>
      <c r="AR14" s="61">
        <v>0</v>
      </c>
      <c r="AS14" s="61">
        <v>0</v>
      </c>
      <c r="AT14" s="61">
        <v>0</v>
      </c>
      <c r="AU14" s="61">
        <v>0</v>
      </c>
      <c r="AV14" s="61">
        <v>0</v>
      </c>
      <c r="AW14" s="61">
        <v>0</v>
      </c>
      <c r="AX14" s="40">
        <f t="shared" si="1"/>
        <v>5</v>
      </c>
      <c r="AY14" s="61">
        <v>0</v>
      </c>
      <c r="AZ14" s="61">
        <v>0</v>
      </c>
      <c r="BA14" s="61">
        <v>0</v>
      </c>
      <c r="BB14" s="36">
        <f t="shared" si="2"/>
        <v>0</v>
      </c>
      <c r="BC14" s="61">
        <v>0</v>
      </c>
      <c r="BD14" s="61">
        <v>0</v>
      </c>
      <c r="BE14" s="61">
        <v>0</v>
      </c>
      <c r="BF14" s="36">
        <f t="shared" si="3"/>
        <v>0</v>
      </c>
      <c r="BG14" s="61">
        <v>7</v>
      </c>
      <c r="BH14" s="61">
        <v>3</v>
      </c>
      <c r="BI14" s="61">
        <v>0</v>
      </c>
      <c r="BJ14" s="36">
        <f t="shared" si="4"/>
        <v>4158</v>
      </c>
      <c r="BK14" s="61">
        <v>5</v>
      </c>
      <c r="BL14" s="61">
        <v>0</v>
      </c>
      <c r="BM14" s="36">
        <f t="shared" si="5"/>
        <v>2100</v>
      </c>
      <c r="BN14" s="33">
        <f t="shared" si="6"/>
        <v>4158</v>
      </c>
      <c r="BO14" s="81"/>
      <c r="BP14" s="82" t="s">
        <v>551</v>
      </c>
      <c r="BQ14" s="69" t="s">
        <v>552</v>
      </c>
      <c r="BR14" s="112">
        <v>0.52083333333333337</v>
      </c>
      <c r="BS14" s="61" t="s">
        <v>335</v>
      </c>
      <c r="BT14" s="61">
        <v>1479979</v>
      </c>
      <c r="BU14" s="61">
        <v>53</v>
      </c>
      <c r="BV14" s="107" t="s">
        <v>553</v>
      </c>
      <c r="BW14" s="111"/>
      <c r="BX14" s="61">
        <v>1</v>
      </c>
      <c r="BY14" s="61">
        <v>0</v>
      </c>
      <c r="BZ14" s="61">
        <v>0</v>
      </c>
      <c r="CA14" s="61">
        <v>0</v>
      </c>
      <c r="CB14" s="61">
        <v>0</v>
      </c>
      <c r="CC14" s="61">
        <v>4</v>
      </c>
      <c r="CD14" s="61">
        <v>1</v>
      </c>
      <c r="CE14" s="61">
        <v>4</v>
      </c>
      <c r="CF14" s="61">
        <v>0</v>
      </c>
      <c r="CG14" s="61">
        <v>1</v>
      </c>
      <c r="CH14" s="61">
        <v>1</v>
      </c>
      <c r="CI14" s="31">
        <f t="shared" si="7"/>
        <v>12</v>
      </c>
      <c r="CJ14" s="61">
        <v>0</v>
      </c>
      <c r="CK14" s="61">
        <v>0</v>
      </c>
      <c r="CL14" s="61">
        <v>0</v>
      </c>
      <c r="CM14" s="61">
        <v>0</v>
      </c>
      <c r="CN14" s="61">
        <v>0</v>
      </c>
      <c r="CO14" s="61">
        <v>0</v>
      </c>
      <c r="CP14" s="61">
        <v>0</v>
      </c>
      <c r="CQ14" s="61">
        <v>0</v>
      </c>
      <c r="CR14" s="61">
        <v>0</v>
      </c>
      <c r="CS14" s="61">
        <v>2</v>
      </c>
      <c r="CT14" s="61">
        <v>0</v>
      </c>
      <c r="CU14" s="61">
        <v>0</v>
      </c>
      <c r="CV14" s="61">
        <v>0</v>
      </c>
      <c r="CW14" s="61">
        <v>0</v>
      </c>
      <c r="CX14" s="61">
        <v>0</v>
      </c>
      <c r="CY14" s="61">
        <v>0</v>
      </c>
      <c r="CZ14" s="61">
        <v>0</v>
      </c>
      <c r="DA14" s="32">
        <f t="shared" si="28"/>
        <v>2</v>
      </c>
      <c r="DB14" s="61">
        <v>0</v>
      </c>
      <c r="DC14" s="61">
        <v>0</v>
      </c>
      <c r="DD14" s="61">
        <v>0</v>
      </c>
      <c r="DE14" s="36">
        <f t="shared" si="29"/>
        <v>0</v>
      </c>
      <c r="DF14" s="61">
        <v>0</v>
      </c>
      <c r="DG14" s="61">
        <v>0</v>
      </c>
      <c r="DH14" s="61">
        <v>0</v>
      </c>
      <c r="DI14" s="36">
        <f t="shared" si="30"/>
        <v>0</v>
      </c>
      <c r="DJ14" s="61">
        <v>7</v>
      </c>
      <c r="DK14" s="61">
        <v>0</v>
      </c>
      <c r="DL14" s="61">
        <v>15</v>
      </c>
      <c r="DM14" s="36">
        <f t="shared" si="31"/>
        <v>346.5</v>
      </c>
      <c r="DN14" s="61">
        <v>10</v>
      </c>
      <c r="DO14" s="61">
        <v>0</v>
      </c>
      <c r="DP14" s="36">
        <f t="shared" si="32"/>
        <v>4200</v>
      </c>
      <c r="DQ14" s="33">
        <f t="shared" si="33"/>
        <v>346.5</v>
      </c>
      <c r="DR14" s="87"/>
      <c r="DS14" s="89"/>
      <c r="DT14" s="86"/>
      <c r="DU14" s="111"/>
      <c r="DV14" s="111"/>
      <c r="DW14" s="111"/>
      <c r="DX14" s="111"/>
      <c r="DY14" s="111"/>
      <c r="DZ14" s="111"/>
      <c r="EA14" s="111"/>
      <c r="EB14" s="111"/>
      <c r="EC14" s="111"/>
      <c r="ED14" s="111"/>
      <c r="EE14" s="111"/>
      <c r="EF14" s="111"/>
      <c r="EG14" s="111"/>
      <c r="EH14" s="111"/>
      <c r="EI14" s="111"/>
      <c r="EJ14" s="111"/>
      <c r="EK14" s="111"/>
      <c r="EL14" s="83"/>
      <c r="EM14" s="111"/>
      <c r="EN14" s="111"/>
      <c r="EO14" s="111"/>
      <c r="EP14" s="111"/>
      <c r="EQ14" s="111"/>
      <c r="ER14" s="111"/>
      <c r="ES14" s="111"/>
      <c r="ET14" s="111"/>
      <c r="EU14" s="111"/>
      <c r="EV14" s="111"/>
      <c r="EW14" s="111"/>
      <c r="EX14" s="111"/>
      <c r="EY14" s="111"/>
      <c r="EZ14" s="111"/>
      <c r="FA14" s="111"/>
      <c r="FB14" s="111"/>
      <c r="FC14" s="111"/>
      <c r="FD14" s="84"/>
      <c r="FE14" s="111"/>
      <c r="FF14" s="111"/>
      <c r="FG14" s="111"/>
      <c r="FH14" s="36">
        <f t="shared" si="36"/>
        <v>0</v>
      </c>
      <c r="FI14" s="111"/>
      <c r="FJ14" s="111"/>
      <c r="FK14" s="111"/>
      <c r="FL14" s="36">
        <f t="shared" si="37"/>
        <v>0</v>
      </c>
      <c r="FM14" s="61"/>
      <c r="FN14" s="61"/>
      <c r="FO14" s="61"/>
      <c r="FP14" s="36">
        <f t="shared" si="38"/>
        <v>0</v>
      </c>
      <c r="FQ14" s="61"/>
      <c r="FR14" s="61"/>
      <c r="FS14" s="61"/>
      <c r="FT14" s="33">
        <f t="shared" si="44"/>
        <v>0</v>
      </c>
      <c r="FU14" s="87"/>
      <c r="FV14" s="89"/>
      <c r="FW14" s="86"/>
      <c r="FX14" s="111"/>
      <c r="FY14" s="111"/>
      <c r="FZ14" s="111"/>
      <c r="GA14" s="111"/>
      <c r="GB14" s="111"/>
      <c r="GC14" s="111"/>
      <c r="GD14" s="111"/>
      <c r="GE14" s="111"/>
      <c r="GF14" s="111"/>
      <c r="GG14" s="111"/>
      <c r="GH14" s="111"/>
      <c r="GI14" s="111"/>
      <c r="GJ14" s="111"/>
      <c r="GK14" s="111"/>
      <c r="GL14" s="111"/>
      <c r="GM14" s="111"/>
      <c r="GN14" s="111"/>
      <c r="GO14" s="83"/>
      <c r="GP14" s="111"/>
      <c r="GQ14" s="111"/>
      <c r="GR14" s="111"/>
      <c r="GS14" s="111"/>
      <c r="GT14" s="111"/>
      <c r="GU14" s="111"/>
      <c r="GV14" s="111"/>
      <c r="GW14" s="111"/>
      <c r="GX14" s="111"/>
      <c r="GY14" s="111"/>
      <c r="GZ14" s="111"/>
      <c r="HA14" s="111"/>
      <c r="HB14" s="111"/>
      <c r="HC14" s="111"/>
      <c r="HD14" s="111"/>
      <c r="HE14" s="111"/>
      <c r="HF14" s="111"/>
      <c r="HG14" s="119"/>
      <c r="HH14" s="111"/>
      <c r="HI14" s="111"/>
      <c r="HJ14" s="111"/>
      <c r="HK14" s="61"/>
      <c r="HL14" s="111"/>
      <c r="HM14" s="111"/>
      <c r="HN14" s="111"/>
      <c r="HO14" s="61"/>
      <c r="HP14" s="111"/>
      <c r="HQ14" s="111"/>
      <c r="HR14" s="111"/>
      <c r="HS14" s="61"/>
      <c r="HT14" s="111"/>
      <c r="HU14" s="111"/>
      <c r="HV14" s="61"/>
      <c r="HW14" s="80"/>
      <c r="HX14" s="87"/>
      <c r="HY14" s="82"/>
      <c r="HZ14" s="109"/>
      <c r="IA14" s="61"/>
    </row>
    <row r="15" spans="1:250" s="26" customFormat="1" ht="66" customHeight="1">
      <c r="A15" s="61" t="s">
        <v>544</v>
      </c>
      <c r="B15" s="30" t="s">
        <v>454</v>
      </c>
      <c r="C15" s="107" t="s">
        <v>554</v>
      </c>
      <c r="D15" s="65">
        <v>4116196</v>
      </c>
      <c r="E15" s="61" t="s">
        <v>555</v>
      </c>
      <c r="F15" s="61">
        <v>56</v>
      </c>
      <c r="G15" s="61" t="s">
        <v>300</v>
      </c>
      <c r="H15" s="61" t="s">
        <v>343</v>
      </c>
      <c r="I15" s="61" t="s">
        <v>343</v>
      </c>
      <c r="J15" s="61" t="s">
        <v>237</v>
      </c>
      <c r="K15" s="107" t="s">
        <v>556</v>
      </c>
      <c r="L15" s="130" t="s">
        <v>510</v>
      </c>
      <c r="M15" s="139" t="s">
        <v>557</v>
      </c>
      <c r="N15" s="69" t="s">
        <v>558</v>
      </c>
      <c r="O15" s="112">
        <v>0.5625</v>
      </c>
      <c r="P15" s="6" t="s">
        <v>328</v>
      </c>
      <c r="Q15" s="36">
        <v>1484539</v>
      </c>
      <c r="R15" s="107">
        <v>46</v>
      </c>
      <c r="S15" s="107" t="s">
        <v>559</v>
      </c>
      <c r="T15" s="107"/>
      <c r="U15" s="61">
        <v>2</v>
      </c>
      <c r="V15" s="61">
        <v>3</v>
      </c>
      <c r="W15" s="61">
        <v>1</v>
      </c>
      <c r="X15" s="61">
        <v>0</v>
      </c>
      <c r="Y15" s="61">
        <v>4</v>
      </c>
      <c r="Z15" s="61">
        <v>6</v>
      </c>
      <c r="AA15" s="61">
        <v>1</v>
      </c>
      <c r="AB15" s="61">
        <v>0</v>
      </c>
      <c r="AC15" s="61">
        <v>0</v>
      </c>
      <c r="AD15" s="61">
        <v>0</v>
      </c>
      <c r="AE15" s="61">
        <v>3</v>
      </c>
      <c r="AF15" s="39">
        <f t="shared" si="0"/>
        <v>20</v>
      </c>
      <c r="AG15" s="61">
        <v>0</v>
      </c>
      <c r="AH15" s="61">
        <v>0</v>
      </c>
      <c r="AI15" s="61">
        <v>0</v>
      </c>
      <c r="AJ15" s="61">
        <v>0</v>
      </c>
      <c r="AK15" s="61">
        <v>0</v>
      </c>
      <c r="AL15" s="61">
        <v>0</v>
      </c>
      <c r="AM15" s="61">
        <v>0</v>
      </c>
      <c r="AN15" s="61">
        <v>0</v>
      </c>
      <c r="AO15" s="61">
        <v>1</v>
      </c>
      <c r="AP15" s="61">
        <v>1</v>
      </c>
      <c r="AQ15" s="61">
        <v>1</v>
      </c>
      <c r="AR15" s="61">
        <v>0</v>
      </c>
      <c r="AS15" s="61">
        <v>0</v>
      </c>
      <c r="AT15" s="61">
        <v>0</v>
      </c>
      <c r="AU15" s="61">
        <v>0</v>
      </c>
      <c r="AV15" s="61">
        <v>0</v>
      </c>
      <c r="AW15" s="61">
        <v>1</v>
      </c>
      <c r="AX15" s="40">
        <f t="shared" si="1"/>
        <v>4</v>
      </c>
      <c r="AY15" s="61">
        <v>5</v>
      </c>
      <c r="AZ15" s="61">
        <v>1</v>
      </c>
      <c r="BA15" s="61">
        <v>0</v>
      </c>
      <c r="BB15" s="36">
        <f t="shared" si="2"/>
        <v>2400</v>
      </c>
      <c r="BC15" s="61">
        <v>3</v>
      </c>
      <c r="BD15" s="61">
        <v>1</v>
      </c>
      <c r="BE15" s="61">
        <v>0</v>
      </c>
      <c r="BF15" s="36">
        <f t="shared" si="3"/>
        <v>720</v>
      </c>
      <c r="BG15" s="61">
        <v>7</v>
      </c>
      <c r="BH15" s="61">
        <v>0</v>
      </c>
      <c r="BI15" s="61">
        <v>20</v>
      </c>
      <c r="BJ15" s="36">
        <f t="shared" si="4"/>
        <v>462</v>
      </c>
      <c r="BK15" s="61">
        <v>7</v>
      </c>
      <c r="BL15" s="61">
        <v>0</v>
      </c>
      <c r="BM15" s="36">
        <f t="shared" si="5"/>
        <v>2940</v>
      </c>
      <c r="BN15" s="33">
        <f t="shared" si="6"/>
        <v>3582</v>
      </c>
      <c r="BO15" s="80"/>
      <c r="BP15" s="90"/>
      <c r="BQ15" s="138" t="s">
        <v>560</v>
      </c>
      <c r="BR15" s="112">
        <v>0.54166666666666663</v>
      </c>
      <c r="BS15" s="61" t="s">
        <v>524</v>
      </c>
      <c r="BT15" s="61">
        <v>1487948</v>
      </c>
      <c r="BU15" s="61">
        <v>49</v>
      </c>
      <c r="BV15" s="107" t="s">
        <v>561</v>
      </c>
      <c r="BW15" s="107"/>
      <c r="BX15" s="61">
        <v>0</v>
      </c>
      <c r="BY15" s="61">
        <v>1</v>
      </c>
      <c r="BZ15" s="61">
        <v>0</v>
      </c>
      <c r="CA15" s="61">
        <v>0</v>
      </c>
      <c r="CB15" s="61">
        <v>2</v>
      </c>
      <c r="CC15" s="61">
        <v>2</v>
      </c>
      <c r="CD15" s="61">
        <v>1</v>
      </c>
      <c r="CE15" s="61">
        <v>0</v>
      </c>
      <c r="CF15" s="61">
        <v>0</v>
      </c>
      <c r="CG15" s="61">
        <v>0</v>
      </c>
      <c r="CH15" s="61">
        <v>3</v>
      </c>
      <c r="CI15" s="31">
        <f t="shared" si="7"/>
        <v>9</v>
      </c>
      <c r="CJ15" s="61">
        <v>0</v>
      </c>
      <c r="CK15" s="61">
        <v>0</v>
      </c>
      <c r="CL15" s="61">
        <v>0</v>
      </c>
      <c r="CM15" s="61">
        <v>0</v>
      </c>
      <c r="CN15" s="61">
        <v>0</v>
      </c>
      <c r="CO15" s="61">
        <v>0</v>
      </c>
      <c r="CP15" s="61">
        <v>0</v>
      </c>
      <c r="CQ15" s="61">
        <v>0</v>
      </c>
      <c r="CR15" s="61">
        <v>0</v>
      </c>
      <c r="CS15" s="61">
        <v>1</v>
      </c>
      <c r="CT15" s="61">
        <v>0</v>
      </c>
      <c r="CU15" s="61">
        <v>0</v>
      </c>
      <c r="CV15" s="61">
        <v>0</v>
      </c>
      <c r="CW15" s="61">
        <v>0</v>
      </c>
      <c r="CX15" s="61">
        <v>0</v>
      </c>
      <c r="CY15" s="61">
        <v>0</v>
      </c>
      <c r="CZ15" s="61">
        <v>2</v>
      </c>
      <c r="DA15" s="32">
        <f t="shared" si="28"/>
        <v>3</v>
      </c>
      <c r="DB15" s="61">
        <v>0</v>
      </c>
      <c r="DC15" s="61">
        <v>0</v>
      </c>
      <c r="DD15" s="61">
        <v>0</v>
      </c>
      <c r="DE15" s="36">
        <f t="shared" si="29"/>
        <v>0</v>
      </c>
      <c r="DF15" s="61">
        <v>6</v>
      </c>
      <c r="DG15" s="61">
        <v>0</v>
      </c>
      <c r="DH15" s="61">
        <v>10</v>
      </c>
      <c r="DI15" s="36">
        <f t="shared" si="30"/>
        <v>240</v>
      </c>
      <c r="DJ15" s="61">
        <v>7</v>
      </c>
      <c r="DK15" s="61">
        <v>0</v>
      </c>
      <c r="DL15" s="61">
        <v>10</v>
      </c>
      <c r="DM15" s="36">
        <f t="shared" si="31"/>
        <v>231</v>
      </c>
      <c r="DN15" s="61">
        <v>8</v>
      </c>
      <c r="DO15" s="61">
        <v>0</v>
      </c>
      <c r="DP15" s="36">
        <f t="shared" si="32"/>
        <v>3360</v>
      </c>
      <c r="DQ15" s="33">
        <f t="shared" si="33"/>
        <v>471</v>
      </c>
      <c r="DR15" s="80"/>
      <c r="DS15" s="90"/>
      <c r="DT15" s="69"/>
      <c r="DU15" s="61"/>
      <c r="DV15" s="61"/>
      <c r="DW15" s="61"/>
      <c r="DX15" s="61"/>
      <c r="DY15" s="61"/>
      <c r="DZ15" s="61"/>
      <c r="EA15" s="61"/>
      <c r="EB15" s="61"/>
      <c r="EC15" s="61"/>
      <c r="ED15" s="61"/>
      <c r="EE15" s="61"/>
      <c r="EF15" s="61"/>
      <c r="EG15" s="61"/>
      <c r="EH15" s="61"/>
      <c r="EI15" s="61"/>
      <c r="EJ15" s="61"/>
      <c r="EK15" s="61"/>
      <c r="EL15" s="83"/>
      <c r="EM15" s="61"/>
      <c r="EN15" s="61"/>
      <c r="EO15" s="61"/>
      <c r="EP15" s="61"/>
      <c r="EQ15" s="61"/>
      <c r="ER15" s="61"/>
      <c r="ES15" s="61"/>
      <c r="ET15" s="61"/>
      <c r="EU15" s="61"/>
      <c r="EV15" s="61"/>
      <c r="EW15" s="61"/>
      <c r="EX15" s="61"/>
      <c r="EY15" s="61"/>
      <c r="EZ15" s="61"/>
      <c r="FA15" s="61"/>
      <c r="FB15" s="61"/>
      <c r="FC15" s="61"/>
      <c r="FD15" s="84"/>
      <c r="FE15" s="61"/>
      <c r="FF15" s="61"/>
      <c r="FG15" s="61"/>
      <c r="FH15" s="61"/>
      <c r="FI15" s="61"/>
      <c r="FJ15" s="61"/>
      <c r="FK15" s="61"/>
      <c r="FL15" s="36">
        <f t="shared" si="37"/>
        <v>0</v>
      </c>
      <c r="FM15" s="61"/>
      <c r="FN15" s="61"/>
      <c r="FO15" s="61"/>
      <c r="FP15" s="36">
        <f t="shared" si="38"/>
        <v>0</v>
      </c>
      <c r="FQ15" s="61"/>
      <c r="FR15" s="61"/>
      <c r="FS15" s="61"/>
      <c r="FT15" s="33">
        <f t="shared" si="44"/>
        <v>0</v>
      </c>
      <c r="FU15" s="80"/>
      <c r="FV15" s="90"/>
      <c r="FW15" s="69"/>
      <c r="FX15" s="61"/>
      <c r="FY15" s="61"/>
      <c r="FZ15" s="61"/>
      <c r="GA15" s="61"/>
      <c r="GB15" s="61"/>
      <c r="GC15" s="61"/>
      <c r="GD15" s="61"/>
      <c r="GE15" s="61"/>
      <c r="GF15" s="61"/>
      <c r="GG15" s="61"/>
      <c r="GH15" s="61"/>
      <c r="GI15" s="61"/>
      <c r="GJ15" s="61"/>
      <c r="GK15" s="61"/>
      <c r="GL15" s="61"/>
      <c r="GM15" s="61"/>
      <c r="GN15" s="61"/>
      <c r="GO15" s="83"/>
      <c r="GP15" s="61"/>
      <c r="GQ15" s="61"/>
      <c r="GR15" s="61"/>
      <c r="GS15" s="61"/>
      <c r="GT15" s="61"/>
      <c r="GU15" s="61"/>
      <c r="GV15" s="61"/>
      <c r="GW15" s="61"/>
      <c r="GX15" s="61"/>
      <c r="GY15" s="61"/>
      <c r="GZ15" s="61"/>
      <c r="HA15" s="61"/>
      <c r="HB15" s="61"/>
      <c r="HC15" s="61"/>
      <c r="HD15" s="61"/>
      <c r="HE15" s="61"/>
      <c r="HF15" s="61"/>
      <c r="HG15" s="119"/>
      <c r="HH15" s="61"/>
      <c r="HI15" s="61"/>
      <c r="HJ15" s="61"/>
      <c r="HK15" s="61"/>
      <c r="HL15" s="61"/>
      <c r="HM15" s="61"/>
      <c r="HN15" s="61"/>
      <c r="HO15" s="61"/>
      <c r="HP15" s="61"/>
      <c r="HQ15" s="61"/>
      <c r="HR15" s="61"/>
      <c r="HS15" s="61"/>
      <c r="HT15" s="61"/>
      <c r="HU15" s="61"/>
      <c r="HV15" s="61"/>
      <c r="HW15" s="80"/>
      <c r="HX15" s="80"/>
      <c r="HY15" s="82"/>
      <c r="HZ15" s="61"/>
      <c r="IA15" s="61"/>
    </row>
    <row r="16" spans="1:250" s="26" customFormat="1" ht="45" customHeight="1">
      <c r="A16" s="61" t="s">
        <v>544</v>
      </c>
      <c r="B16" s="77" t="s">
        <v>375</v>
      </c>
      <c r="C16" s="61" t="s">
        <v>562</v>
      </c>
      <c r="D16" s="65">
        <v>259643</v>
      </c>
      <c r="E16" s="61" t="s">
        <v>563</v>
      </c>
      <c r="F16" s="61">
        <v>59</v>
      </c>
      <c r="G16" s="61" t="s">
        <v>300</v>
      </c>
      <c r="H16" s="107" t="s">
        <v>564</v>
      </c>
      <c r="I16" s="61" t="s">
        <v>343</v>
      </c>
      <c r="J16" s="61" t="s">
        <v>237</v>
      </c>
      <c r="K16" s="107" t="s">
        <v>565</v>
      </c>
      <c r="L16" s="78" t="s">
        <v>566</v>
      </c>
      <c r="M16" s="61" t="s">
        <v>239</v>
      </c>
      <c r="N16" s="69" t="s">
        <v>383</v>
      </c>
      <c r="O16" s="112">
        <v>0.52916666666666667</v>
      </c>
      <c r="P16" s="6" t="s">
        <v>335</v>
      </c>
      <c r="Q16" s="107" t="s">
        <v>567</v>
      </c>
      <c r="R16" s="107" t="s">
        <v>568</v>
      </c>
      <c r="S16" s="107" t="s">
        <v>569</v>
      </c>
      <c r="T16" s="107"/>
      <c r="U16" s="61">
        <v>0</v>
      </c>
      <c r="V16" s="61">
        <v>0</v>
      </c>
      <c r="W16" s="61">
        <v>0</v>
      </c>
      <c r="X16" s="61">
        <v>0</v>
      </c>
      <c r="Y16" s="61">
        <v>0</v>
      </c>
      <c r="Z16" s="61">
        <v>0</v>
      </c>
      <c r="AA16" s="61">
        <v>0</v>
      </c>
      <c r="AB16" s="61">
        <v>2</v>
      </c>
      <c r="AC16" s="61">
        <v>0</v>
      </c>
      <c r="AD16" s="61">
        <v>1</v>
      </c>
      <c r="AE16" s="61">
        <v>0</v>
      </c>
      <c r="AF16" s="39">
        <f t="shared" si="0"/>
        <v>3</v>
      </c>
      <c r="AG16" s="61">
        <v>0</v>
      </c>
      <c r="AH16" s="61">
        <v>0</v>
      </c>
      <c r="AI16" s="61">
        <v>0</v>
      </c>
      <c r="AJ16" s="61">
        <v>1</v>
      </c>
      <c r="AK16" s="61">
        <v>0</v>
      </c>
      <c r="AL16" s="61">
        <v>0</v>
      </c>
      <c r="AM16" s="61">
        <v>0</v>
      </c>
      <c r="AN16" s="61">
        <v>0</v>
      </c>
      <c r="AO16" s="61">
        <v>0</v>
      </c>
      <c r="AP16" s="61">
        <v>0</v>
      </c>
      <c r="AQ16" s="61">
        <v>0</v>
      </c>
      <c r="AR16" s="61">
        <v>0</v>
      </c>
      <c r="AS16" s="61">
        <v>0</v>
      </c>
      <c r="AT16" s="61">
        <v>3</v>
      </c>
      <c r="AU16" s="61">
        <v>0</v>
      </c>
      <c r="AV16" s="61">
        <v>0</v>
      </c>
      <c r="AW16" s="61">
        <v>1</v>
      </c>
      <c r="AX16" s="40">
        <f t="shared" si="1"/>
        <v>5</v>
      </c>
      <c r="AY16" s="61">
        <v>0</v>
      </c>
      <c r="AZ16" s="61">
        <v>0</v>
      </c>
      <c r="BA16" s="61">
        <v>0</v>
      </c>
      <c r="BB16" s="36">
        <f t="shared" si="2"/>
        <v>0</v>
      </c>
      <c r="BC16" s="61">
        <v>0</v>
      </c>
      <c r="BD16" s="61">
        <v>0</v>
      </c>
      <c r="BE16" s="61">
        <v>0</v>
      </c>
      <c r="BF16" s="36">
        <f t="shared" si="3"/>
        <v>0</v>
      </c>
      <c r="BG16" s="61">
        <v>7</v>
      </c>
      <c r="BH16" s="61">
        <v>0</v>
      </c>
      <c r="BI16" s="61">
        <v>10</v>
      </c>
      <c r="BJ16" s="36">
        <f t="shared" si="4"/>
        <v>231</v>
      </c>
      <c r="BK16" s="61">
        <v>6</v>
      </c>
      <c r="BL16" s="61">
        <v>0</v>
      </c>
      <c r="BM16" s="36">
        <f t="shared" si="5"/>
        <v>2520</v>
      </c>
      <c r="BN16" s="33">
        <f t="shared" si="6"/>
        <v>231</v>
      </c>
      <c r="BO16" s="80"/>
      <c r="BP16" s="82"/>
      <c r="BQ16" s="69"/>
      <c r="BR16" s="61"/>
      <c r="BS16" s="61"/>
      <c r="BT16" s="61"/>
      <c r="BU16" s="61"/>
      <c r="BV16" s="61"/>
      <c r="BW16" s="61"/>
      <c r="BX16" s="61"/>
      <c r="BY16" s="61"/>
      <c r="BZ16" s="61"/>
      <c r="CA16" s="61"/>
      <c r="CB16" s="61"/>
      <c r="CC16" s="61"/>
      <c r="CD16" s="61"/>
      <c r="CE16" s="61"/>
      <c r="CF16" s="61"/>
      <c r="CG16" s="61"/>
      <c r="CH16" s="61"/>
      <c r="CI16" s="31">
        <f t="shared" si="7"/>
        <v>0</v>
      </c>
      <c r="CJ16" s="61"/>
      <c r="CK16" s="61"/>
      <c r="CL16" s="61"/>
      <c r="CM16" s="61"/>
      <c r="CN16" s="61"/>
      <c r="CO16" s="61"/>
      <c r="CP16" s="61"/>
      <c r="CQ16" s="61"/>
      <c r="CR16" s="61"/>
      <c r="CS16" s="61"/>
      <c r="CT16" s="61"/>
      <c r="CU16" s="61"/>
      <c r="CV16" s="61"/>
      <c r="CW16" s="61"/>
      <c r="CX16" s="61"/>
      <c r="CY16" s="61"/>
      <c r="CZ16" s="61"/>
      <c r="DA16" s="84"/>
      <c r="DB16" s="61"/>
      <c r="DC16" s="61"/>
      <c r="DD16" s="61"/>
      <c r="DE16" s="36">
        <f t="shared" si="29"/>
        <v>0</v>
      </c>
      <c r="DF16" s="61"/>
      <c r="DG16" s="61"/>
      <c r="DH16" s="61"/>
      <c r="DI16" s="36">
        <f t="shared" si="30"/>
        <v>0</v>
      </c>
      <c r="DJ16" s="61"/>
      <c r="DK16" s="61"/>
      <c r="DL16" s="61"/>
      <c r="DM16" s="36">
        <f t="shared" si="31"/>
        <v>0</v>
      </c>
      <c r="DN16" s="61"/>
      <c r="DO16" s="61"/>
      <c r="DP16" s="36">
        <f t="shared" si="32"/>
        <v>0</v>
      </c>
      <c r="DQ16" s="33">
        <f t="shared" si="33"/>
        <v>0</v>
      </c>
      <c r="DR16" s="80"/>
      <c r="DS16" s="90"/>
      <c r="DT16" s="69"/>
      <c r="DU16" s="61"/>
      <c r="DV16" s="61"/>
      <c r="DW16" s="61"/>
      <c r="DX16" s="61"/>
      <c r="DY16" s="61"/>
      <c r="DZ16" s="61"/>
      <c r="EA16" s="61"/>
      <c r="EB16" s="61"/>
      <c r="EC16" s="61"/>
      <c r="ED16" s="61"/>
      <c r="EE16" s="61"/>
      <c r="EF16" s="61"/>
      <c r="EG16" s="61"/>
      <c r="EH16" s="61"/>
      <c r="EI16" s="61"/>
      <c r="EJ16" s="61"/>
      <c r="EK16" s="61"/>
      <c r="EL16" s="83"/>
      <c r="EM16" s="61"/>
      <c r="EN16" s="61"/>
      <c r="EO16" s="61"/>
      <c r="EP16" s="61"/>
      <c r="EQ16" s="61"/>
      <c r="ER16" s="61"/>
      <c r="ES16" s="61"/>
      <c r="ET16" s="61"/>
      <c r="EU16" s="61"/>
      <c r="EV16" s="61"/>
      <c r="EW16" s="61"/>
      <c r="EX16" s="61"/>
      <c r="EY16" s="61"/>
      <c r="EZ16" s="61"/>
      <c r="FA16" s="61"/>
      <c r="FB16" s="61"/>
      <c r="FC16" s="61"/>
      <c r="FD16" s="84"/>
      <c r="FE16" s="61"/>
      <c r="FF16" s="61"/>
      <c r="FG16" s="61"/>
      <c r="FH16" s="61"/>
      <c r="FI16" s="61"/>
      <c r="FJ16" s="61"/>
      <c r="FK16" s="61"/>
      <c r="FL16" s="36">
        <f t="shared" si="37"/>
        <v>0</v>
      </c>
      <c r="FM16" s="61"/>
      <c r="FN16" s="61"/>
      <c r="FO16" s="61"/>
      <c r="FP16" s="36">
        <f t="shared" si="38"/>
        <v>0</v>
      </c>
      <c r="FQ16" s="61"/>
      <c r="FR16" s="61"/>
      <c r="FS16" s="61"/>
      <c r="FT16" s="33">
        <f t="shared" si="44"/>
        <v>0</v>
      </c>
      <c r="FU16" s="80"/>
      <c r="FV16" s="90"/>
      <c r="FW16" s="69"/>
      <c r="FX16" s="61"/>
      <c r="FY16" s="61"/>
      <c r="FZ16" s="61"/>
      <c r="GA16" s="61"/>
      <c r="GB16" s="61"/>
      <c r="GC16" s="61"/>
      <c r="GD16" s="61"/>
      <c r="GE16" s="61"/>
      <c r="GF16" s="61"/>
      <c r="GG16" s="61"/>
      <c r="GH16" s="61"/>
      <c r="GI16" s="61"/>
      <c r="GJ16" s="61"/>
      <c r="GK16" s="61"/>
      <c r="GL16" s="61"/>
      <c r="GM16" s="61"/>
      <c r="GN16" s="61"/>
      <c r="GO16" s="83"/>
      <c r="GP16" s="61"/>
      <c r="GQ16" s="61"/>
      <c r="GR16" s="61"/>
      <c r="GS16" s="61"/>
      <c r="GT16" s="61"/>
      <c r="GU16" s="61"/>
      <c r="GV16" s="61"/>
      <c r="GW16" s="61"/>
      <c r="GX16" s="61"/>
      <c r="GY16" s="61"/>
      <c r="GZ16" s="61"/>
      <c r="HA16" s="61"/>
      <c r="HB16" s="61"/>
      <c r="HC16" s="61"/>
      <c r="HD16" s="61"/>
      <c r="HE16" s="61"/>
      <c r="HF16" s="61"/>
      <c r="HG16" s="119"/>
      <c r="HH16" s="61"/>
      <c r="HI16" s="61"/>
      <c r="HJ16" s="61"/>
      <c r="HK16" s="61"/>
      <c r="HL16" s="61"/>
      <c r="HM16" s="61"/>
      <c r="HN16" s="61"/>
      <c r="HO16" s="61"/>
      <c r="HP16" s="61"/>
      <c r="HQ16" s="61"/>
      <c r="HR16" s="61"/>
      <c r="HS16" s="61"/>
      <c r="HT16" s="61"/>
      <c r="HU16" s="61"/>
      <c r="HV16" s="61"/>
      <c r="HW16" s="80"/>
      <c r="HX16" s="80"/>
      <c r="HY16" s="82"/>
      <c r="HZ16" s="61"/>
      <c r="IA16" s="61"/>
    </row>
    <row r="17" spans="1:235" s="26" customFormat="1" ht="45" customHeight="1">
      <c r="A17" s="61" t="s">
        <v>544</v>
      </c>
      <c r="B17" s="77" t="s">
        <v>375</v>
      </c>
      <c r="C17" s="107" t="s">
        <v>570</v>
      </c>
      <c r="D17" s="65">
        <v>612354</v>
      </c>
      <c r="E17" s="61" t="s">
        <v>571</v>
      </c>
      <c r="F17" s="61">
        <v>41</v>
      </c>
      <c r="G17" s="61" t="s">
        <v>300</v>
      </c>
      <c r="H17" s="107" t="s">
        <v>572</v>
      </c>
      <c r="I17" s="61" t="s">
        <v>343</v>
      </c>
      <c r="J17" s="107" t="s">
        <v>573</v>
      </c>
      <c r="K17" s="107" t="s">
        <v>574</v>
      </c>
      <c r="L17" s="130" t="s">
        <v>575</v>
      </c>
      <c r="M17" s="61" t="s">
        <v>239</v>
      </c>
      <c r="N17" s="69" t="s">
        <v>383</v>
      </c>
      <c r="O17" s="112">
        <v>0.70833333333333337</v>
      </c>
      <c r="P17" s="6" t="s">
        <v>576</v>
      </c>
      <c r="Q17" s="54" t="s">
        <v>577</v>
      </c>
      <c r="R17" s="107" t="s">
        <v>578</v>
      </c>
      <c r="S17" s="107" t="s">
        <v>579</v>
      </c>
      <c r="T17" s="107"/>
      <c r="U17" s="61">
        <v>0</v>
      </c>
      <c r="V17" s="61">
        <v>2</v>
      </c>
      <c r="W17" s="61">
        <v>1</v>
      </c>
      <c r="X17" s="61">
        <v>0</v>
      </c>
      <c r="Y17" s="61">
        <v>4</v>
      </c>
      <c r="Z17" s="61">
        <v>6</v>
      </c>
      <c r="AA17" s="61">
        <v>4</v>
      </c>
      <c r="AB17" s="61">
        <v>8</v>
      </c>
      <c r="AC17" s="61">
        <v>0</v>
      </c>
      <c r="AD17" s="61">
        <v>2</v>
      </c>
      <c r="AE17" s="61">
        <v>4</v>
      </c>
      <c r="AF17" s="39">
        <f t="shared" si="0"/>
        <v>31</v>
      </c>
      <c r="AG17" s="61">
        <v>0</v>
      </c>
      <c r="AH17" s="61">
        <v>0</v>
      </c>
      <c r="AI17" s="61">
        <v>0</v>
      </c>
      <c r="AJ17" s="61">
        <v>0</v>
      </c>
      <c r="AK17" s="61">
        <v>0</v>
      </c>
      <c r="AL17" s="61">
        <v>0</v>
      </c>
      <c r="AM17" s="61">
        <v>4</v>
      </c>
      <c r="AN17" s="61">
        <v>0</v>
      </c>
      <c r="AO17" s="61">
        <v>2</v>
      </c>
      <c r="AP17" s="61">
        <v>3</v>
      </c>
      <c r="AQ17" s="61">
        <v>0</v>
      </c>
      <c r="AR17" s="61">
        <v>0</v>
      </c>
      <c r="AS17" s="61">
        <v>0</v>
      </c>
      <c r="AT17" s="61">
        <v>0</v>
      </c>
      <c r="AU17" s="61">
        <v>0</v>
      </c>
      <c r="AV17" s="61">
        <v>0</v>
      </c>
      <c r="AW17" s="61">
        <v>2</v>
      </c>
      <c r="AX17" s="40">
        <f t="shared" si="1"/>
        <v>11</v>
      </c>
      <c r="AY17" s="61">
        <v>0</v>
      </c>
      <c r="AZ17" s="61">
        <v>0</v>
      </c>
      <c r="BA17" s="61">
        <v>0</v>
      </c>
      <c r="BB17" s="36">
        <f t="shared" si="2"/>
        <v>0</v>
      </c>
      <c r="BC17" s="61">
        <v>0</v>
      </c>
      <c r="BD17" s="61">
        <v>0</v>
      </c>
      <c r="BE17" s="61">
        <v>0</v>
      </c>
      <c r="BF17" s="36">
        <f t="shared" si="3"/>
        <v>0</v>
      </c>
      <c r="BG17" s="61">
        <v>0</v>
      </c>
      <c r="BH17" s="61">
        <v>0</v>
      </c>
      <c r="BI17" s="61">
        <v>0</v>
      </c>
      <c r="BJ17" s="36">
        <f t="shared" si="4"/>
        <v>0</v>
      </c>
      <c r="BK17" s="61">
        <v>0</v>
      </c>
      <c r="BL17" s="61">
        <v>0</v>
      </c>
      <c r="BM17" s="36">
        <f t="shared" si="5"/>
        <v>0</v>
      </c>
      <c r="BN17" s="33">
        <f t="shared" si="6"/>
        <v>0</v>
      </c>
      <c r="BO17" s="81" t="s">
        <v>580</v>
      </c>
      <c r="BP17" s="90"/>
      <c r="BQ17" s="69"/>
      <c r="BR17" s="112"/>
      <c r="BS17" s="28"/>
      <c r="BT17" s="107"/>
      <c r="BU17" s="61"/>
      <c r="BV17" s="107"/>
      <c r="BW17" s="107"/>
      <c r="BX17" s="61"/>
      <c r="BY17" s="61"/>
      <c r="BZ17" s="61"/>
      <c r="CA17" s="61"/>
      <c r="CB17" s="61"/>
      <c r="CC17" s="61"/>
      <c r="CD17" s="61"/>
      <c r="CE17" s="61"/>
      <c r="CF17" s="61"/>
      <c r="CG17" s="61"/>
      <c r="CH17" s="61"/>
      <c r="CI17" s="83"/>
      <c r="CJ17" s="61"/>
      <c r="CK17" s="61"/>
      <c r="CL17" s="61"/>
      <c r="CM17" s="61"/>
      <c r="CN17" s="61"/>
      <c r="CO17" s="61"/>
      <c r="CP17" s="61"/>
      <c r="CQ17" s="61"/>
      <c r="CR17" s="61"/>
      <c r="CS17" s="61"/>
      <c r="CT17" s="61"/>
      <c r="CU17" s="61"/>
      <c r="CV17" s="61"/>
      <c r="CW17" s="61"/>
      <c r="CX17" s="61"/>
      <c r="CY17" s="61"/>
      <c r="CZ17" s="61"/>
      <c r="DA17" s="84"/>
      <c r="DB17" s="61"/>
      <c r="DC17" s="61"/>
      <c r="DD17" s="61"/>
      <c r="DE17" s="36">
        <f t="shared" si="29"/>
        <v>0</v>
      </c>
      <c r="DF17" s="61"/>
      <c r="DG17" s="61"/>
      <c r="DH17" s="61"/>
      <c r="DI17" s="36">
        <f t="shared" si="30"/>
        <v>0</v>
      </c>
      <c r="DJ17" s="61"/>
      <c r="DK17" s="61"/>
      <c r="DL17" s="61"/>
      <c r="DM17" s="61"/>
      <c r="DN17" s="61"/>
      <c r="DO17" s="61"/>
      <c r="DP17" s="61"/>
      <c r="DQ17" s="33">
        <f t="shared" si="33"/>
        <v>0</v>
      </c>
      <c r="DR17" s="80"/>
      <c r="DS17" s="90"/>
      <c r="DT17" s="69"/>
      <c r="DU17" s="112"/>
      <c r="DV17" s="54"/>
      <c r="DW17" s="54"/>
      <c r="DX17" s="61"/>
      <c r="DY17" s="54"/>
      <c r="DZ17" s="54"/>
      <c r="EA17" s="61"/>
      <c r="EB17" s="61"/>
      <c r="EC17" s="61"/>
      <c r="ED17" s="61"/>
      <c r="EE17" s="61"/>
      <c r="EF17" s="61"/>
      <c r="EG17" s="61"/>
      <c r="EH17" s="61"/>
      <c r="EI17" s="61"/>
      <c r="EJ17" s="61"/>
      <c r="EK17" s="61"/>
      <c r="EL17" s="83"/>
      <c r="EM17" s="61"/>
      <c r="EN17" s="61"/>
      <c r="EO17" s="61"/>
      <c r="EP17" s="61"/>
      <c r="EQ17" s="61"/>
      <c r="ER17" s="61"/>
      <c r="ES17" s="61"/>
      <c r="ET17" s="61"/>
      <c r="EU17" s="61"/>
      <c r="EV17" s="61"/>
      <c r="EW17" s="61"/>
      <c r="EX17" s="61"/>
      <c r="EY17" s="61"/>
      <c r="EZ17" s="61"/>
      <c r="FA17" s="61"/>
      <c r="FB17" s="61"/>
      <c r="FC17" s="61"/>
      <c r="FD17" s="84"/>
      <c r="FE17" s="61"/>
      <c r="FF17" s="61"/>
      <c r="FG17" s="61"/>
      <c r="FH17" s="61"/>
      <c r="FI17" s="61"/>
      <c r="FJ17" s="61"/>
      <c r="FK17" s="61"/>
      <c r="FL17" s="36">
        <f t="shared" si="37"/>
        <v>0</v>
      </c>
      <c r="FM17" s="61"/>
      <c r="FN17" s="61"/>
      <c r="FO17" s="61"/>
      <c r="FP17" s="36">
        <f t="shared" si="38"/>
        <v>0</v>
      </c>
      <c r="FQ17" s="61"/>
      <c r="FR17" s="61"/>
      <c r="FS17" s="61"/>
      <c r="FT17" s="33">
        <f t="shared" si="44"/>
        <v>0</v>
      </c>
      <c r="FU17" s="80"/>
      <c r="FV17" s="90"/>
      <c r="FW17" s="69"/>
      <c r="FX17" s="61"/>
      <c r="FY17" s="61"/>
      <c r="FZ17" s="61"/>
      <c r="GA17" s="61"/>
      <c r="GB17" s="61"/>
      <c r="GC17" s="61"/>
      <c r="GD17" s="61"/>
      <c r="GE17" s="61"/>
      <c r="GF17" s="61"/>
      <c r="GG17" s="61"/>
      <c r="GH17" s="61"/>
      <c r="GI17" s="61"/>
      <c r="GJ17" s="61"/>
      <c r="GK17" s="61"/>
      <c r="GL17" s="61"/>
      <c r="GM17" s="61"/>
      <c r="GN17" s="61"/>
      <c r="GO17" s="83"/>
      <c r="GP17" s="61"/>
      <c r="GQ17" s="61"/>
      <c r="GR17" s="61"/>
      <c r="GS17" s="61"/>
      <c r="GT17" s="61"/>
      <c r="GU17" s="61"/>
      <c r="GV17" s="61"/>
      <c r="GW17" s="61"/>
      <c r="GX17" s="61"/>
      <c r="GY17" s="61"/>
      <c r="GZ17" s="61"/>
      <c r="HA17" s="61"/>
      <c r="HB17" s="61"/>
      <c r="HC17" s="61"/>
      <c r="HD17" s="61"/>
      <c r="HE17" s="61"/>
      <c r="HF17" s="61"/>
      <c r="HG17" s="119"/>
      <c r="HH17" s="61"/>
      <c r="HI17" s="61"/>
      <c r="HJ17" s="61"/>
      <c r="HK17" s="61"/>
      <c r="HL17" s="61"/>
      <c r="HM17" s="61"/>
      <c r="HN17" s="61"/>
      <c r="HO17" s="61"/>
      <c r="HP17" s="61"/>
      <c r="HQ17" s="61"/>
      <c r="HR17" s="61"/>
      <c r="HS17" s="61"/>
      <c r="HT17" s="61"/>
      <c r="HU17" s="61"/>
      <c r="HV17" s="61"/>
      <c r="HW17" s="80"/>
      <c r="HX17" s="80"/>
      <c r="HY17" s="82"/>
      <c r="HZ17" s="61"/>
      <c r="IA17" s="61"/>
    </row>
    <row r="18" spans="1:235" s="26" customFormat="1">
      <c r="A18" s="61"/>
      <c r="B18" s="77"/>
      <c r="C18" s="107"/>
      <c r="D18" s="78"/>
      <c r="E18" s="61"/>
      <c r="F18" s="61"/>
      <c r="G18" s="61"/>
      <c r="H18" s="61"/>
      <c r="I18" s="61"/>
      <c r="J18" s="107"/>
      <c r="K18" s="107"/>
      <c r="L18" s="78"/>
      <c r="M18" s="107"/>
      <c r="N18" s="69"/>
      <c r="O18" s="112"/>
      <c r="P18" s="28"/>
      <c r="Q18" s="28"/>
      <c r="R18" s="61"/>
      <c r="S18" s="107"/>
      <c r="T18" s="107"/>
      <c r="U18" s="61"/>
      <c r="V18" s="61"/>
      <c r="W18" s="61"/>
      <c r="X18" s="61"/>
      <c r="Y18" s="61"/>
      <c r="Z18" s="61"/>
      <c r="AA18" s="61"/>
      <c r="AB18" s="61"/>
      <c r="AC18" s="61"/>
      <c r="AD18" s="61"/>
      <c r="AE18" s="61"/>
      <c r="AF18" s="39">
        <f t="shared" si="0"/>
        <v>0</v>
      </c>
      <c r="AG18" s="61"/>
      <c r="AH18" s="61"/>
      <c r="AI18" s="61"/>
      <c r="AJ18" s="61"/>
      <c r="AK18" s="61"/>
      <c r="AL18" s="61"/>
      <c r="AM18" s="61"/>
      <c r="AN18" s="61"/>
      <c r="AO18" s="61"/>
      <c r="AP18" s="61"/>
      <c r="AQ18" s="61"/>
      <c r="AR18" s="61"/>
      <c r="AS18" s="61"/>
      <c r="AT18" s="61"/>
      <c r="AU18" s="61"/>
      <c r="AV18" s="61"/>
      <c r="AW18" s="61"/>
      <c r="AX18" s="40">
        <f t="shared" si="1"/>
        <v>0</v>
      </c>
      <c r="AY18" s="61"/>
      <c r="AZ18" s="61"/>
      <c r="BA18" s="61"/>
      <c r="BB18" s="36">
        <f t="shared" si="2"/>
        <v>0</v>
      </c>
      <c r="BC18" s="61"/>
      <c r="BD18" s="61"/>
      <c r="BE18" s="61"/>
      <c r="BF18" s="36">
        <f t="shared" si="3"/>
        <v>0</v>
      </c>
      <c r="BG18" s="61"/>
      <c r="BH18" s="61"/>
      <c r="BI18" s="61"/>
      <c r="BJ18" s="61"/>
      <c r="BK18" s="61"/>
      <c r="BL18" s="61"/>
      <c r="BM18" s="61"/>
      <c r="BN18" s="80"/>
      <c r="BO18" s="80"/>
      <c r="BP18" s="82"/>
      <c r="BQ18" s="69"/>
      <c r="BR18" s="112"/>
      <c r="BS18" s="28"/>
      <c r="BT18" s="107"/>
      <c r="BU18" s="107"/>
      <c r="BV18" s="54"/>
      <c r="BW18" s="54"/>
      <c r="BX18" s="61"/>
      <c r="BY18" s="61"/>
      <c r="BZ18" s="61"/>
      <c r="CA18" s="61"/>
      <c r="CB18" s="61"/>
      <c r="CC18" s="61"/>
      <c r="CD18" s="61"/>
      <c r="CE18" s="61"/>
      <c r="CF18" s="61"/>
      <c r="CG18" s="61"/>
      <c r="CH18" s="61"/>
      <c r="CI18" s="83"/>
      <c r="CJ18" s="61"/>
      <c r="CK18" s="61"/>
      <c r="CL18" s="61"/>
      <c r="CM18" s="61"/>
      <c r="CN18" s="61"/>
      <c r="CO18" s="61"/>
      <c r="CP18" s="61"/>
      <c r="CQ18" s="61"/>
      <c r="CR18" s="61"/>
      <c r="CS18" s="61"/>
      <c r="CT18" s="61"/>
      <c r="CU18" s="61"/>
      <c r="CV18" s="61"/>
      <c r="CW18" s="61"/>
      <c r="CX18" s="61"/>
      <c r="CY18" s="61"/>
      <c r="CZ18" s="61"/>
      <c r="DA18" s="84"/>
      <c r="DB18" s="61"/>
      <c r="DC18" s="61"/>
      <c r="DD18" s="61"/>
      <c r="DE18" s="36">
        <f t="shared" si="29"/>
        <v>0</v>
      </c>
      <c r="DF18" s="61"/>
      <c r="DG18" s="61"/>
      <c r="DH18" s="61"/>
      <c r="DI18" s="61"/>
      <c r="DJ18" s="61"/>
      <c r="DK18" s="61"/>
      <c r="DL18" s="61"/>
      <c r="DM18" s="61"/>
      <c r="DN18" s="61"/>
      <c r="DO18" s="61"/>
      <c r="DP18" s="61"/>
      <c r="DQ18" s="33">
        <f t="shared" si="33"/>
        <v>0</v>
      </c>
      <c r="DR18" s="80"/>
      <c r="DS18" s="90"/>
      <c r="DT18" s="69"/>
      <c r="DU18" s="112"/>
      <c r="DV18" s="28"/>
      <c r="DW18" s="28"/>
      <c r="DX18" s="107"/>
      <c r="DY18" s="107"/>
      <c r="DZ18" s="107"/>
      <c r="EA18" s="61"/>
      <c r="EB18" s="61"/>
      <c r="EC18" s="61"/>
      <c r="ED18" s="61"/>
      <c r="EE18" s="61"/>
      <c r="EF18" s="61"/>
      <c r="EG18" s="61"/>
      <c r="EH18" s="61"/>
      <c r="EI18" s="61"/>
      <c r="EJ18" s="61"/>
      <c r="EK18" s="61"/>
      <c r="EL18" s="83"/>
      <c r="EM18" s="61"/>
      <c r="EN18" s="61"/>
      <c r="EO18" s="61"/>
      <c r="EP18" s="61"/>
      <c r="EQ18" s="61"/>
      <c r="ER18" s="61"/>
      <c r="ES18" s="61"/>
      <c r="ET18" s="61"/>
      <c r="EU18" s="61"/>
      <c r="EV18" s="61"/>
      <c r="EW18" s="61"/>
      <c r="EX18" s="61"/>
      <c r="EY18" s="61"/>
      <c r="EZ18" s="61"/>
      <c r="FA18" s="61"/>
      <c r="FB18" s="61"/>
      <c r="FC18" s="61"/>
      <c r="FD18" s="84"/>
      <c r="FE18" s="61"/>
      <c r="FF18" s="61"/>
      <c r="FG18" s="61"/>
      <c r="FH18" s="61"/>
      <c r="FI18" s="61"/>
      <c r="FJ18" s="61"/>
      <c r="FK18" s="61"/>
      <c r="FL18" s="61"/>
      <c r="FM18" s="61"/>
      <c r="FN18" s="61"/>
      <c r="FO18" s="61"/>
      <c r="FP18" s="36">
        <f t="shared" si="38"/>
        <v>0</v>
      </c>
      <c r="FQ18" s="61"/>
      <c r="FR18" s="61"/>
      <c r="FS18" s="61"/>
      <c r="FT18" s="80"/>
      <c r="FU18" s="80"/>
      <c r="FV18" s="90"/>
      <c r="FW18" s="69"/>
      <c r="FX18" s="61"/>
      <c r="FY18" s="61"/>
      <c r="FZ18" s="61"/>
      <c r="GA18" s="61"/>
      <c r="GB18" s="61"/>
      <c r="GC18" s="61"/>
      <c r="GD18" s="61"/>
      <c r="GE18" s="61"/>
      <c r="GF18" s="61"/>
      <c r="GG18" s="61"/>
      <c r="GH18" s="61"/>
      <c r="GI18" s="61"/>
      <c r="GJ18" s="61"/>
      <c r="GK18" s="61"/>
      <c r="GL18" s="61"/>
      <c r="GM18" s="61"/>
      <c r="GN18" s="61"/>
      <c r="GO18" s="83"/>
      <c r="GP18" s="61"/>
      <c r="GQ18" s="61"/>
      <c r="GR18" s="61"/>
      <c r="GS18" s="61"/>
      <c r="GT18" s="61"/>
      <c r="GU18" s="61"/>
      <c r="GV18" s="61"/>
      <c r="GW18" s="61"/>
      <c r="GX18" s="61"/>
      <c r="GY18" s="61"/>
      <c r="GZ18" s="61"/>
      <c r="HA18" s="61"/>
      <c r="HB18" s="61"/>
      <c r="HC18" s="61"/>
      <c r="HD18" s="61"/>
      <c r="HE18" s="61"/>
      <c r="HF18" s="61"/>
      <c r="HG18" s="119"/>
      <c r="HH18" s="61"/>
      <c r="HI18" s="61"/>
      <c r="HJ18" s="61"/>
      <c r="HK18" s="61"/>
      <c r="HL18" s="61"/>
      <c r="HM18" s="61"/>
      <c r="HN18" s="61"/>
      <c r="HO18" s="61"/>
      <c r="HP18" s="61"/>
      <c r="HQ18" s="61"/>
      <c r="HR18" s="61"/>
      <c r="HS18" s="61"/>
      <c r="HT18" s="61"/>
      <c r="HU18" s="61"/>
      <c r="HV18" s="61"/>
      <c r="HW18" s="80"/>
      <c r="HX18" s="80"/>
      <c r="HY18" s="82"/>
      <c r="HZ18" s="61"/>
      <c r="IA18" s="61"/>
    </row>
    <row r="19" spans="1:235" s="26" customFormat="1">
      <c r="A19" s="61"/>
      <c r="B19" s="69"/>
      <c r="C19" s="54"/>
      <c r="D19" s="78"/>
      <c r="E19" s="61"/>
      <c r="F19" s="61"/>
      <c r="G19" s="61"/>
      <c r="H19" s="61"/>
      <c r="I19" s="61"/>
      <c r="J19" s="61"/>
      <c r="K19" s="107"/>
      <c r="L19" s="78"/>
      <c r="M19" s="107"/>
      <c r="N19" s="69"/>
      <c r="O19" s="112"/>
      <c r="P19" s="28"/>
      <c r="Q19" s="28"/>
      <c r="R19" s="61"/>
      <c r="S19" s="107"/>
      <c r="T19" s="107"/>
      <c r="U19" s="61"/>
      <c r="V19" s="61"/>
      <c r="W19" s="61"/>
      <c r="X19" s="61"/>
      <c r="Y19" s="61"/>
      <c r="Z19" s="61"/>
      <c r="AA19" s="61"/>
      <c r="AB19" s="61"/>
      <c r="AC19" s="61"/>
      <c r="AD19" s="61"/>
      <c r="AE19" s="61"/>
      <c r="AF19" s="39">
        <f t="shared" si="0"/>
        <v>0</v>
      </c>
      <c r="AG19" s="61"/>
      <c r="AH19" s="61"/>
      <c r="AI19" s="61"/>
      <c r="AJ19" s="61"/>
      <c r="AK19" s="61"/>
      <c r="AL19" s="61"/>
      <c r="AM19" s="61"/>
      <c r="AN19" s="61"/>
      <c r="AO19" s="61"/>
      <c r="AP19" s="61"/>
      <c r="AQ19" s="61"/>
      <c r="AR19" s="61"/>
      <c r="AS19" s="61"/>
      <c r="AT19" s="61"/>
      <c r="AU19" s="61"/>
      <c r="AV19" s="61"/>
      <c r="AW19" s="61"/>
      <c r="AX19" s="40">
        <f t="shared" si="1"/>
        <v>0</v>
      </c>
      <c r="AY19" s="61"/>
      <c r="AZ19" s="61"/>
      <c r="BA19" s="61"/>
      <c r="BB19" s="36">
        <f t="shared" si="2"/>
        <v>0</v>
      </c>
      <c r="BC19" s="61"/>
      <c r="BD19" s="61"/>
      <c r="BE19" s="61"/>
      <c r="BF19" s="36">
        <f t="shared" si="3"/>
        <v>0</v>
      </c>
      <c r="BG19" s="61"/>
      <c r="BH19" s="61"/>
      <c r="BI19" s="61"/>
      <c r="BJ19" s="61"/>
      <c r="BK19" s="61"/>
      <c r="BL19" s="61"/>
      <c r="BM19" s="61"/>
      <c r="BN19" s="80"/>
      <c r="BO19" s="80"/>
      <c r="BP19" s="90"/>
      <c r="BQ19" s="69"/>
      <c r="BR19" s="112"/>
      <c r="BS19" s="28"/>
      <c r="BT19" s="107"/>
      <c r="BU19" s="61"/>
      <c r="BV19" s="107"/>
      <c r="BW19" s="107"/>
      <c r="BX19" s="61"/>
      <c r="BY19" s="61"/>
      <c r="BZ19" s="61"/>
      <c r="CA19" s="61"/>
      <c r="CB19" s="61"/>
      <c r="CC19" s="61"/>
      <c r="CD19" s="61"/>
      <c r="CE19" s="61"/>
      <c r="CF19" s="61"/>
      <c r="CG19" s="61"/>
      <c r="CH19" s="61"/>
      <c r="CI19" s="83"/>
      <c r="CJ19" s="61"/>
      <c r="CK19" s="61"/>
      <c r="CL19" s="61"/>
      <c r="CM19" s="61"/>
      <c r="CN19" s="61"/>
      <c r="CO19" s="61"/>
      <c r="CP19" s="61"/>
      <c r="CQ19" s="61"/>
      <c r="CR19" s="61"/>
      <c r="CS19" s="61"/>
      <c r="CT19" s="61"/>
      <c r="CU19" s="61"/>
      <c r="CV19" s="61"/>
      <c r="CW19" s="61"/>
      <c r="CX19" s="61"/>
      <c r="CY19" s="61"/>
      <c r="CZ19" s="61"/>
      <c r="DA19" s="84"/>
      <c r="DB19" s="61"/>
      <c r="DC19" s="61"/>
      <c r="DD19" s="61"/>
      <c r="DE19" s="36">
        <f t="shared" si="29"/>
        <v>0</v>
      </c>
      <c r="DF19" s="61"/>
      <c r="DG19" s="61"/>
      <c r="DH19" s="61"/>
      <c r="DI19" s="61"/>
      <c r="DJ19" s="61"/>
      <c r="DK19" s="61"/>
      <c r="DL19" s="61"/>
      <c r="DM19" s="61"/>
      <c r="DN19" s="61"/>
      <c r="DO19" s="61"/>
      <c r="DP19" s="61"/>
      <c r="DQ19" s="80"/>
      <c r="DR19" s="80"/>
      <c r="DS19" s="90"/>
      <c r="DT19" s="69"/>
      <c r="DU19" s="61"/>
      <c r="DV19" s="55"/>
      <c r="DW19" s="61"/>
      <c r="DX19" s="61"/>
      <c r="DY19" s="61"/>
      <c r="DZ19" s="61"/>
      <c r="EA19" s="61"/>
      <c r="EB19" s="61"/>
      <c r="EC19" s="61"/>
      <c r="ED19" s="61"/>
      <c r="EE19" s="61"/>
      <c r="EF19" s="61"/>
      <c r="EG19" s="61"/>
      <c r="EH19" s="61"/>
      <c r="EI19" s="61"/>
      <c r="EJ19" s="61"/>
      <c r="EK19" s="61"/>
      <c r="EL19" s="83"/>
      <c r="EM19" s="61"/>
      <c r="EN19" s="61"/>
      <c r="EO19" s="61"/>
      <c r="EP19" s="61"/>
      <c r="EQ19" s="61"/>
      <c r="ER19" s="61"/>
      <c r="ES19" s="61"/>
      <c r="ET19" s="61"/>
      <c r="EU19" s="61"/>
      <c r="EV19" s="61"/>
      <c r="EW19" s="61"/>
      <c r="EX19" s="61"/>
      <c r="EY19" s="61"/>
      <c r="EZ19" s="61"/>
      <c r="FA19" s="61"/>
      <c r="FB19" s="61"/>
      <c r="FC19" s="61"/>
      <c r="FD19" s="84"/>
      <c r="FE19" s="61"/>
      <c r="FF19" s="61"/>
      <c r="FG19" s="61"/>
      <c r="FH19" s="61"/>
      <c r="FI19" s="61"/>
      <c r="FJ19" s="61"/>
      <c r="FK19" s="61"/>
      <c r="FL19" s="61"/>
      <c r="FM19" s="61"/>
      <c r="FN19" s="61"/>
      <c r="FO19" s="61"/>
      <c r="FP19" s="36">
        <f t="shared" si="38"/>
        <v>0</v>
      </c>
      <c r="FQ19" s="61"/>
      <c r="FR19" s="61"/>
      <c r="FS19" s="61"/>
      <c r="FT19" s="80"/>
      <c r="FU19" s="80"/>
      <c r="FV19" s="90"/>
      <c r="FW19" s="69"/>
      <c r="FX19" s="112"/>
      <c r="FY19" s="28"/>
      <c r="FZ19" s="28"/>
      <c r="GA19" s="61"/>
      <c r="GB19" s="107"/>
      <c r="GC19" s="107"/>
      <c r="GD19" s="61"/>
      <c r="GE19" s="61"/>
      <c r="GF19" s="61"/>
      <c r="GG19" s="61"/>
      <c r="GH19" s="61"/>
      <c r="GI19" s="61"/>
      <c r="GJ19" s="61"/>
      <c r="GK19" s="61"/>
      <c r="GL19" s="61"/>
      <c r="GM19" s="61"/>
      <c r="GN19" s="61"/>
      <c r="GO19" s="83"/>
      <c r="GP19" s="61"/>
      <c r="GQ19" s="61"/>
      <c r="GR19" s="61"/>
      <c r="GS19" s="61"/>
      <c r="GT19" s="61"/>
      <c r="GU19" s="61"/>
      <c r="GV19" s="61"/>
      <c r="GW19" s="61"/>
      <c r="GX19" s="61"/>
      <c r="GY19" s="61"/>
      <c r="GZ19" s="61"/>
      <c r="HA19" s="61"/>
      <c r="HB19" s="61"/>
      <c r="HC19" s="61"/>
      <c r="HD19" s="61"/>
      <c r="HE19" s="61"/>
      <c r="HF19" s="61"/>
      <c r="HG19" s="119"/>
      <c r="HH19" s="61"/>
      <c r="HI19" s="61"/>
      <c r="HJ19" s="61"/>
      <c r="HK19" s="61"/>
      <c r="HL19" s="61"/>
      <c r="HM19" s="61"/>
      <c r="HN19" s="61"/>
      <c r="HO19" s="61"/>
      <c r="HP19" s="61"/>
      <c r="HQ19" s="61"/>
      <c r="HR19" s="61"/>
      <c r="HS19" s="61"/>
      <c r="HT19" s="61"/>
      <c r="HU19" s="61"/>
      <c r="HV19" s="61"/>
      <c r="HW19" s="80"/>
      <c r="HX19" s="80"/>
      <c r="HY19" s="82"/>
      <c r="HZ19" s="61"/>
      <c r="IA19" s="61"/>
    </row>
    <row r="20" spans="1:235" s="26" customFormat="1">
      <c r="A20" s="61"/>
      <c r="B20" s="69"/>
      <c r="C20" s="28"/>
      <c r="D20" s="78"/>
      <c r="E20" s="61"/>
      <c r="F20" s="61"/>
      <c r="G20" s="61"/>
      <c r="H20" s="61"/>
      <c r="I20" s="61"/>
      <c r="J20" s="61"/>
      <c r="K20" s="61"/>
      <c r="L20" s="129"/>
      <c r="M20" s="54"/>
      <c r="N20" s="69"/>
      <c r="O20" s="112"/>
      <c r="P20" s="54"/>
      <c r="Q20" s="28"/>
      <c r="R20" s="61"/>
      <c r="S20" s="107"/>
      <c r="T20" s="107"/>
      <c r="U20" s="61"/>
      <c r="V20" s="61"/>
      <c r="W20" s="61"/>
      <c r="X20" s="61"/>
      <c r="Y20" s="61"/>
      <c r="Z20" s="61"/>
      <c r="AA20" s="61"/>
      <c r="AB20" s="61"/>
      <c r="AC20" s="61"/>
      <c r="AD20" s="61"/>
      <c r="AE20" s="61"/>
      <c r="AF20" s="79"/>
      <c r="AG20" s="61"/>
      <c r="AH20" s="61"/>
      <c r="AI20" s="61"/>
      <c r="AJ20" s="61"/>
      <c r="AK20" s="61"/>
      <c r="AL20" s="61"/>
      <c r="AM20" s="61"/>
      <c r="AN20" s="61"/>
      <c r="AO20" s="61"/>
      <c r="AP20" s="61"/>
      <c r="AQ20" s="61"/>
      <c r="AR20" s="61"/>
      <c r="AS20" s="61"/>
      <c r="AT20" s="61"/>
      <c r="AU20" s="61"/>
      <c r="AV20" s="61"/>
      <c r="AW20" s="61"/>
      <c r="AX20" s="40">
        <f t="shared" si="1"/>
        <v>0</v>
      </c>
      <c r="AY20" s="61"/>
      <c r="AZ20" s="61"/>
      <c r="BA20" s="61"/>
      <c r="BB20" s="36">
        <f t="shared" si="2"/>
        <v>0</v>
      </c>
      <c r="BC20" s="61"/>
      <c r="BD20" s="61"/>
      <c r="BE20" s="61"/>
      <c r="BF20" s="36">
        <f t="shared" si="3"/>
        <v>0</v>
      </c>
      <c r="BG20" s="61"/>
      <c r="BH20" s="61"/>
      <c r="BI20" s="61"/>
      <c r="BJ20" s="61"/>
      <c r="BK20" s="61"/>
      <c r="BL20" s="61"/>
      <c r="BM20" s="61"/>
      <c r="BN20" s="80"/>
      <c r="BO20" s="80"/>
      <c r="BP20" s="82"/>
      <c r="BQ20" s="69"/>
      <c r="BR20" s="112"/>
      <c r="BS20" s="28"/>
      <c r="BT20" s="107"/>
      <c r="BU20" s="61"/>
      <c r="BV20" s="107"/>
      <c r="BW20" s="107"/>
      <c r="BX20" s="61"/>
      <c r="BY20" s="61"/>
      <c r="BZ20" s="61"/>
      <c r="CA20" s="61"/>
      <c r="CB20" s="61"/>
      <c r="CC20" s="61"/>
      <c r="CD20" s="61"/>
      <c r="CE20" s="61"/>
      <c r="CF20" s="61"/>
      <c r="CG20" s="61"/>
      <c r="CH20" s="61"/>
      <c r="CI20" s="83"/>
      <c r="CJ20" s="61"/>
      <c r="CK20" s="61"/>
      <c r="CL20" s="61"/>
      <c r="CM20" s="61"/>
      <c r="CN20" s="61"/>
      <c r="CO20" s="61"/>
      <c r="CP20" s="61"/>
      <c r="CQ20" s="61"/>
      <c r="CR20" s="61"/>
      <c r="CS20" s="61"/>
      <c r="CT20" s="61"/>
      <c r="CU20" s="61"/>
      <c r="CV20" s="61"/>
      <c r="CW20" s="61"/>
      <c r="CX20" s="61"/>
      <c r="CY20" s="61"/>
      <c r="CZ20" s="61"/>
      <c r="DA20" s="84"/>
      <c r="DB20" s="61"/>
      <c r="DC20" s="61"/>
      <c r="DD20" s="61"/>
      <c r="DE20" s="61"/>
      <c r="DF20" s="61"/>
      <c r="DG20" s="61"/>
      <c r="DH20" s="61"/>
      <c r="DI20" s="61"/>
      <c r="DJ20" s="61"/>
      <c r="DK20" s="61"/>
      <c r="DL20" s="61"/>
      <c r="DM20" s="61"/>
      <c r="DN20" s="61"/>
      <c r="DO20" s="61"/>
      <c r="DP20" s="61"/>
      <c r="DQ20" s="80"/>
      <c r="DR20" s="80"/>
      <c r="DS20" s="90"/>
      <c r="DT20" s="69"/>
      <c r="DU20" s="61"/>
      <c r="DV20" s="61"/>
      <c r="DW20" s="61"/>
      <c r="DX20" s="61"/>
      <c r="DY20" s="61"/>
      <c r="DZ20" s="61"/>
      <c r="EA20" s="61"/>
      <c r="EB20" s="61"/>
      <c r="EC20" s="61"/>
      <c r="ED20" s="61"/>
      <c r="EE20" s="61"/>
      <c r="EF20" s="61"/>
      <c r="EG20" s="61"/>
      <c r="EH20" s="61"/>
      <c r="EI20" s="61"/>
      <c r="EJ20" s="61"/>
      <c r="EK20" s="61"/>
      <c r="EL20" s="83"/>
      <c r="EM20" s="61"/>
      <c r="EN20" s="61"/>
      <c r="EO20" s="61"/>
      <c r="EP20" s="61"/>
      <c r="EQ20" s="61"/>
      <c r="ER20" s="61"/>
      <c r="ES20" s="61"/>
      <c r="ET20" s="61"/>
      <c r="EU20" s="61"/>
      <c r="EV20" s="61"/>
      <c r="EW20" s="61"/>
      <c r="EX20" s="61"/>
      <c r="EY20" s="61"/>
      <c r="EZ20" s="61"/>
      <c r="FA20" s="61"/>
      <c r="FB20" s="61"/>
      <c r="FC20" s="61"/>
      <c r="FD20" s="84"/>
      <c r="FE20" s="61"/>
      <c r="FF20" s="61"/>
      <c r="FG20" s="61"/>
      <c r="FH20" s="61"/>
      <c r="FI20" s="61"/>
      <c r="FJ20" s="61"/>
      <c r="FK20" s="61"/>
      <c r="FL20" s="61"/>
      <c r="FM20" s="61"/>
      <c r="FN20" s="61"/>
      <c r="FO20" s="61"/>
      <c r="FP20" s="36">
        <f t="shared" si="38"/>
        <v>0</v>
      </c>
      <c r="FQ20" s="61"/>
      <c r="FR20" s="61"/>
      <c r="FS20" s="61"/>
      <c r="FT20" s="80"/>
      <c r="FU20" s="80"/>
      <c r="FV20" s="90"/>
      <c r="FW20" s="69"/>
      <c r="FX20" s="61"/>
      <c r="FY20" s="61"/>
      <c r="FZ20" s="61"/>
      <c r="GA20" s="61"/>
      <c r="GB20" s="61"/>
      <c r="GC20" s="61"/>
      <c r="GD20" s="61"/>
      <c r="GE20" s="61"/>
      <c r="GF20" s="61"/>
      <c r="GG20" s="61"/>
      <c r="GH20" s="61"/>
      <c r="GI20" s="61"/>
      <c r="GJ20" s="61"/>
      <c r="GK20" s="61"/>
      <c r="GL20" s="61"/>
      <c r="GM20" s="61"/>
      <c r="GN20" s="61"/>
      <c r="GO20" s="83"/>
      <c r="GP20" s="61"/>
      <c r="GQ20" s="61"/>
      <c r="GR20" s="61"/>
      <c r="GS20" s="61"/>
      <c r="GT20" s="61"/>
      <c r="GU20" s="61"/>
      <c r="GV20" s="61"/>
      <c r="GW20" s="61"/>
      <c r="GX20" s="61"/>
      <c r="GY20" s="61"/>
      <c r="GZ20" s="61"/>
      <c r="HA20" s="61"/>
      <c r="HB20" s="61"/>
      <c r="HC20" s="61"/>
      <c r="HD20" s="61"/>
      <c r="HE20" s="61"/>
      <c r="HF20" s="61"/>
      <c r="HG20" s="119"/>
      <c r="HH20" s="61"/>
      <c r="HI20" s="61"/>
      <c r="HJ20" s="61"/>
      <c r="HK20" s="61"/>
      <c r="HL20" s="61"/>
      <c r="HM20" s="61"/>
      <c r="HN20" s="61"/>
      <c r="HO20" s="61"/>
      <c r="HP20" s="61"/>
      <c r="HQ20" s="61"/>
      <c r="HR20" s="61"/>
      <c r="HS20" s="61"/>
      <c r="HT20" s="61"/>
      <c r="HU20" s="61"/>
      <c r="HV20" s="61"/>
      <c r="HW20" s="80"/>
      <c r="HX20" s="80"/>
      <c r="HY20" s="82"/>
      <c r="HZ20" s="61"/>
      <c r="IA20" s="61"/>
    </row>
    <row r="21" spans="1:235" s="26" customFormat="1">
      <c r="A21" s="61"/>
      <c r="B21" s="69"/>
      <c r="C21" s="107"/>
      <c r="D21" s="78"/>
      <c r="E21" s="61"/>
      <c r="F21" s="61"/>
      <c r="G21" s="61"/>
      <c r="H21" s="61"/>
      <c r="I21" s="61"/>
      <c r="J21" s="61"/>
      <c r="K21" s="61"/>
      <c r="L21" s="130"/>
      <c r="M21" s="61"/>
      <c r="N21" s="69"/>
      <c r="O21" s="112"/>
      <c r="P21" s="54"/>
      <c r="Q21" s="28"/>
      <c r="R21" s="107"/>
      <c r="S21" s="107"/>
      <c r="T21" s="107"/>
      <c r="U21" s="61"/>
      <c r="V21" s="61"/>
      <c r="W21" s="61"/>
      <c r="X21" s="61"/>
      <c r="Y21" s="61"/>
      <c r="Z21" s="61"/>
      <c r="AA21" s="61"/>
      <c r="AB21" s="61"/>
      <c r="AC21" s="61"/>
      <c r="AD21" s="61"/>
      <c r="AE21" s="61"/>
      <c r="AF21" s="79"/>
      <c r="AG21" s="61"/>
      <c r="AH21" s="61"/>
      <c r="AI21" s="61"/>
      <c r="AJ21" s="61"/>
      <c r="AK21" s="61"/>
      <c r="AL21" s="61"/>
      <c r="AM21" s="61"/>
      <c r="AN21" s="61"/>
      <c r="AO21" s="61"/>
      <c r="AP21" s="61"/>
      <c r="AQ21" s="61"/>
      <c r="AR21" s="61"/>
      <c r="AS21" s="61"/>
      <c r="AT21" s="61"/>
      <c r="AU21" s="61"/>
      <c r="AV21" s="61"/>
      <c r="AW21" s="61"/>
      <c r="AX21" s="40">
        <f t="shared" si="1"/>
        <v>0</v>
      </c>
      <c r="AY21" s="61"/>
      <c r="AZ21" s="61"/>
      <c r="BA21" s="61"/>
      <c r="BB21" s="36">
        <f t="shared" si="2"/>
        <v>0</v>
      </c>
      <c r="BC21" s="61"/>
      <c r="BD21" s="61"/>
      <c r="BE21" s="61"/>
      <c r="BF21" s="36">
        <f t="shared" si="3"/>
        <v>0</v>
      </c>
      <c r="BG21" s="61"/>
      <c r="BH21" s="61"/>
      <c r="BI21" s="61"/>
      <c r="BJ21" s="61"/>
      <c r="BK21" s="61"/>
      <c r="BL21" s="61"/>
      <c r="BM21" s="61"/>
      <c r="BN21" s="80"/>
      <c r="BO21" s="80"/>
      <c r="BP21" s="82"/>
      <c r="BQ21" s="69"/>
      <c r="BR21" s="61"/>
      <c r="BS21" s="61"/>
      <c r="BT21" s="61"/>
      <c r="BU21" s="61"/>
      <c r="BV21" s="61"/>
      <c r="BW21" s="61"/>
      <c r="BX21" s="61"/>
      <c r="BY21" s="61"/>
      <c r="BZ21" s="61"/>
      <c r="CA21" s="61"/>
      <c r="CB21" s="61"/>
      <c r="CC21" s="61"/>
      <c r="CD21" s="61"/>
      <c r="CE21" s="61"/>
      <c r="CF21" s="61"/>
      <c r="CG21" s="61"/>
      <c r="CH21" s="61"/>
      <c r="CI21" s="83"/>
      <c r="CJ21" s="61"/>
      <c r="CK21" s="61"/>
      <c r="CL21" s="61"/>
      <c r="CM21" s="61"/>
      <c r="CN21" s="61"/>
      <c r="CO21" s="61"/>
      <c r="CP21" s="61"/>
      <c r="CQ21" s="61"/>
      <c r="CR21" s="61"/>
      <c r="CS21" s="61"/>
      <c r="CT21" s="61"/>
      <c r="CU21" s="61"/>
      <c r="CV21" s="61"/>
      <c r="CW21" s="61"/>
      <c r="CX21" s="61"/>
      <c r="CY21" s="61"/>
      <c r="CZ21" s="61"/>
      <c r="DA21" s="84"/>
      <c r="DB21" s="61"/>
      <c r="DC21" s="61"/>
      <c r="DD21" s="61"/>
      <c r="DE21" s="61"/>
      <c r="DF21" s="61"/>
      <c r="DG21" s="61"/>
      <c r="DH21" s="61"/>
      <c r="DI21" s="61"/>
      <c r="DJ21" s="61"/>
      <c r="DK21" s="61"/>
      <c r="DL21" s="61"/>
      <c r="DM21" s="61"/>
      <c r="DN21" s="61"/>
      <c r="DO21" s="61"/>
      <c r="DP21" s="61"/>
      <c r="DQ21" s="80"/>
      <c r="DR21" s="80"/>
      <c r="DS21" s="90"/>
      <c r="DT21" s="69"/>
      <c r="DU21" s="61"/>
      <c r="DV21" s="61"/>
      <c r="DW21" s="61"/>
      <c r="DX21" s="61"/>
      <c r="DY21" s="61"/>
      <c r="DZ21" s="61"/>
      <c r="EA21" s="61"/>
      <c r="EB21" s="61"/>
      <c r="EC21" s="61"/>
      <c r="ED21" s="61"/>
      <c r="EE21" s="61"/>
      <c r="EF21" s="61"/>
      <c r="EG21" s="61"/>
      <c r="EH21" s="61"/>
      <c r="EI21" s="61"/>
      <c r="EJ21" s="61"/>
      <c r="EK21" s="61"/>
      <c r="EL21" s="83"/>
      <c r="EM21" s="61"/>
      <c r="EN21" s="61"/>
      <c r="EO21" s="61"/>
      <c r="EP21" s="61"/>
      <c r="EQ21" s="61"/>
      <c r="ER21" s="61"/>
      <c r="ES21" s="61"/>
      <c r="ET21" s="61"/>
      <c r="EU21" s="61"/>
      <c r="EV21" s="61"/>
      <c r="EW21" s="61"/>
      <c r="EX21" s="61"/>
      <c r="EY21" s="61"/>
      <c r="EZ21" s="61"/>
      <c r="FA21" s="61"/>
      <c r="FB21" s="61"/>
      <c r="FC21" s="61"/>
      <c r="FD21" s="84"/>
      <c r="FE21" s="61"/>
      <c r="FF21" s="61"/>
      <c r="FG21" s="61"/>
      <c r="FH21" s="61"/>
      <c r="FI21" s="61"/>
      <c r="FJ21" s="61"/>
      <c r="FK21" s="61"/>
      <c r="FL21" s="61"/>
      <c r="FM21" s="61"/>
      <c r="FN21" s="61"/>
      <c r="FO21" s="61"/>
      <c r="FP21" s="36">
        <f t="shared" si="38"/>
        <v>0</v>
      </c>
      <c r="FQ21" s="61"/>
      <c r="FR21" s="61"/>
      <c r="FS21" s="61"/>
      <c r="FT21" s="80"/>
      <c r="FU21" s="80"/>
      <c r="FV21" s="90"/>
      <c r="FW21" s="69"/>
      <c r="FX21" s="61"/>
      <c r="FY21" s="61"/>
      <c r="FZ21" s="61"/>
      <c r="GA21" s="61"/>
      <c r="GB21" s="61"/>
      <c r="GC21" s="61"/>
      <c r="GD21" s="61"/>
      <c r="GE21" s="61"/>
      <c r="GF21" s="61"/>
      <c r="GG21" s="61"/>
      <c r="GH21" s="61"/>
      <c r="GI21" s="61"/>
      <c r="GJ21" s="61"/>
      <c r="GK21" s="61"/>
      <c r="GL21" s="61"/>
      <c r="GM21" s="61"/>
      <c r="GN21" s="61"/>
      <c r="GO21" s="83"/>
      <c r="GP21" s="61"/>
      <c r="GQ21" s="61"/>
      <c r="GR21" s="61"/>
      <c r="GS21" s="61"/>
      <c r="GT21" s="61"/>
      <c r="GU21" s="61"/>
      <c r="GV21" s="61"/>
      <c r="GW21" s="61"/>
      <c r="GX21" s="61"/>
      <c r="GY21" s="61"/>
      <c r="GZ21" s="61"/>
      <c r="HA21" s="61"/>
      <c r="HB21" s="61"/>
      <c r="HC21" s="61"/>
      <c r="HD21" s="61"/>
      <c r="HE21" s="61"/>
      <c r="HF21" s="61"/>
      <c r="HG21" s="119"/>
      <c r="HH21" s="61"/>
      <c r="HI21" s="61"/>
      <c r="HJ21" s="61"/>
      <c r="HK21" s="61"/>
      <c r="HL21" s="61"/>
      <c r="HM21" s="61"/>
      <c r="HN21" s="61"/>
      <c r="HO21" s="61"/>
      <c r="HP21" s="61"/>
      <c r="HQ21" s="61"/>
      <c r="HR21" s="61"/>
      <c r="HS21" s="61"/>
      <c r="HT21" s="61"/>
      <c r="HU21" s="61"/>
      <c r="HV21" s="61"/>
      <c r="HW21" s="80"/>
      <c r="HX21" s="80"/>
      <c r="HY21" s="82"/>
      <c r="HZ21" s="61"/>
      <c r="IA21" s="61"/>
    </row>
    <row r="22" spans="1:235" s="26" customFormat="1">
      <c r="A22" s="61"/>
      <c r="B22" s="69"/>
      <c r="C22" s="107"/>
      <c r="D22" s="78"/>
      <c r="E22" s="61"/>
      <c r="F22" s="61"/>
      <c r="G22" s="61"/>
      <c r="H22" s="61"/>
      <c r="I22" s="61"/>
      <c r="J22" s="61"/>
      <c r="K22" s="61"/>
      <c r="L22" s="78"/>
      <c r="M22" s="107"/>
      <c r="N22" s="69"/>
      <c r="O22" s="112"/>
      <c r="P22" s="54"/>
      <c r="Q22" s="28"/>
      <c r="R22" s="61"/>
      <c r="S22" s="107"/>
      <c r="T22" s="107"/>
      <c r="U22" s="61"/>
      <c r="V22" s="61"/>
      <c r="W22" s="61"/>
      <c r="X22" s="61"/>
      <c r="Y22" s="61"/>
      <c r="Z22" s="61"/>
      <c r="AA22" s="61"/>
      <c r="AB22" s="61"/>
      <c r="AC22" s="61"/>
      <c r="AD22" s="61"/>
      <c r="AE22" s="61"/>
      <c r="AF22" s="79"/>
      <c r="AG22" s="61"/>
      <c r="AH22" s="61"/>
      <c r="AI22" s="61"/>
      <c r="AJ22" s="61"/>
      <c r="AK22" s="61"/>
      <c r="AL22" s="61"/>
      <c r="AM22" s="61"/>
      <c r="AN22" s="61"/>
      <c r="AO22" s="61"/>
      <c r="AP22" s="61"/>
      <c r="AQ22" s="61"/>
      <c r="AR22" s="61"/>
      <c r="AS22" s="61"/>
      <c r="AT22" s="61"/>
      <c r="AU22" s="61"/>
      <c r="AV22" s="61"/>
      <c r="AW22" s="61"/>
      <c r="AX22" s="118"/>
      <c r="AY22" s="61"/>
      <c r="AZ22" s="61"/>
      <c r="BA22" s="61"/>
      <c r="BB22" s="36">
        <f t="shared" si="2"/>
        <v>0</v>
      </c>
      <c r="BC22" s="61"/>
      <c r="BD22" s="61"/>
      <c r="BE22" s="61"/>
      <c r="BF22" s="36">
        <f t="shared" si="3"/>
        <v>0</v>
      </c>
      <c r="BG22" s="61"/>
      <c r="BH22" s="61"/>
      <c r="BI22" s="61"/>
      <c r="BJ22" s="61"/>
      <c r="BK22" s="61"/>
      <c r="BL22" s="61"/>
      <c r="BM22" s="61"/>
      <c r="BN22" s="80"/>
      <c r="BO22" s="80"/>
      <c r="BP22" s="90"/>
      <c r="BQ22" s="69"/>
      <c r="BR22" s="61"/>
      <c r="BS22" s="61"/>
      <c r="BT22" s="61"/>
      <c r="BU22" s="61"/>
      <c r="BV22" s="61"/>
      <c r="BW22" s="61"/>
      <c r="BX22" s="61"/>
      <c r="BY22" s="61"/>
      <c r="BZ22" s="61"/>
      <c r="CA22" s="61"/>
      <c r="CB22" s="61"/>
      <c r="CC22" s="61"/>
      <c r="CD22" s="61"/>
      <c r="CE22" s="61"/>
      <c r="CF22" s="61"/>
      <c r="CG22" s="61"/>
      <c r="CH22" s="61"/>
      <c r="CI22" s="83"/>
      <c r="CJ22" s="61"/>
      <c r="CK22" s="61"/>
      <c r="CL22" s="61"/>
      <c r="CM22" s="61"/>
      <c r="CN22" s="61"/>
      <c r="CO22" s="61"/>
      <c r="CP22" s="61"/>
      <c r="CQ22" s="61"/>
      <c r="CR22" s="61"/>
      <c r="CS22" s="61"/>
      <c r="CT22" s="61"/>
      <c r="CU22" s="61"/>
      <c r="CV22" s="61"/>
      <c r="CW22" s="61"/>
      <c r="CX22" s="61"/>
      <c r="CY22" s="61"/>
      <c r="CZ22" s="61"/>
      <c r="DA22" s="84"/>
      <c r="DB22" s="61"/>
      <c r="DC22" s="61"/>
      <c r="DD22" s="61"/>
      <c r="DE22" s="61"/>
      <c r="DF22" s="61"/>
      <c r="DG22" s="61"/>
      <c r="DH22" s="61"/>
      <c r="DI22" s="61"/>
      <c r="DJ22" s="61"/>
      <c r="DK22" s="61"/>
      <c r="DL22" s="61"/>
      <c r="DM22" s="61"/>
      <c r="DN22" s="61"/>
      <c r="DO22" s="61"/>
      <c r="DP22" s="61"/>
      <c r="DQ22" s="80"/>
      <c r="DR22" s="80"/>
      <c r="DS22" s="90"/>
      <c r="DT22" s="69"/>
      <c r="DU22" s="61"/>
      <c r="DV22" s="61"/>
      <c r="DW22" s="61"/>
      <c r="DX22" s="61"/>
      <c r="DY22" s="61"/>
      <c r="DZ22" s="61"/>
      <c r="EA22" s="61"/>
      <c r="EB22" s="61"/>
      <c r="EC22" s="61"/>
      <c r="ED22" s="61"/>
      <c r="EE22" s="61"/>
      <c r="EF22" s="61"/>
      <c r="EG22" s="61"/>
      <c r="EH22" s="61"/>
      <c r="EI22" s="61"/>
      <c r="EJ22" s="61"/>
      <c r="EK22" s="61"/>
      <c r="EL22" s="83"/>
      <c r="EM22" s="61"/>
      <c r="EN22" s="61"/>
      <c r="EO22" s="61"/>
      <c r="EP22" s="61"/>
      <c r="EQ22" s="61"/>
      <c r="ER22" s="61"/>
      <c r="ES22" s="61"/>
      <c r="ET22" s="61"/>
      <c r="EU22" s="61"/>
      <c r="EV22" s="61"/>
      <c r="EW22" s="61"/>
      <c r="EX22" s="61"/>
      <c r="EY22" s="61"/>
      <c r="EZ22" s="61"/>
      <c r="FA22" s="61"/>
      <c r="FB22" s="61"/>
      <c r="FC22" s="61"/>
      <c r="FD22" s="84"/>
      <c r="FE22" s="61"/>
      <c r="FF22" s="61"/>
      <c r="FG22" s="61"/>
      <c r="FH22" s="61"/>
      <c r="FI22" s="61"/>
      <c r="FJ22" s="61"/>
      <c r="FK22" s="61"/>
      <c r="FL22" s="61"/>
      <c r="FM22" s="61"/>
      <c r="FN22" s="61"/>
      <c r="FO22" s="61"/>
      <c r="FP22" s="36">
        <f t="shared" si="38"/>
        <v>0</v>
      </c>
      <c r="FQ22" s="61"/>
      <c r="FR22" s="61"/>
      <c r="FS22" s="61"/>
      <c r="FT22" s="80"/>
      <c r="FU22" s="80"/>
      <c r="FV22" s="90"/>
      <c r="FW22" s="69"/>
      <c r="FX22" s="61"/>
      <c r="FY22" s="61"/>
      <c r="FZ22" s="61"/>
      <c r="GA22" s="61"/>
      <c r="GB22" s="61"/>
      <c r="GC22" s="61"/>
      <c r="GD22" s="61"/>
      <c r="GE22" s="61"/>
      <c r="GF22" s="61"/>
      <c r="GG22" s="61"/>
      <c r="GH22" s="61"/>
      <c r="GI22" s="61"/>
      <c r="GJ22" s="61"/>
      <c r="GK22" s="61"/>
      <c r="GL22" s="61"/>
      <c r="GM22" s="61"/>
      <c r="GN22" s="61"/>
      <c r="GO22" s="83"/>
      <c r="GP22" s="61"/>
      <c r="GQ22" s="61"/>
      <c r="GR22" s="61"/>
      <c r="GS22" s="61"/>
      <c r="GT22" s="61"/>
      <c r="GU22" s="61"/>
      <c r="GV22" s="61"/>
      <c r="GW22" s="61"/>
      <c r="GX22" s="61"/>
      <c r="GY22" s="61"/>
      <c r="GZ22" s="61"/>
      <c r="HA22" s="61"/>
      <c r="HB22" s="61"/>
      <c r="HC22" s="61"/>
      <c r="HD22" s="61"/>
      <c r="HE22" s="61"/>
      <c r="HF22" s="61"/>
      <c r="HG22" s="119"/>
      <c r="HH22" s="61"/>
      <c r="HI22" s="61"/>
      <c r="HJ22" s="61"/>
      <c r="HK22" s="61"/>
      <c r="HL22" s="61"/>
      <c r="HM22" s="61"/>
      <c r="HN22" s="61"/>
      <c r="HO22" s="61"/>
      <c r="HP22" s="61"/>
      <c r="HQ22" s="61"/>
      <c r="HR22" s="61"/>
      <c r="HS22" s="61"/>
      <c r="HT22" s="61"/>
      <c r="HU22" s="61"/>
      <c r="HV22" s="61"/>
      <c r="HW22" s="80"/>
      <c r="HX22" s="80"/>
      <c r="HY22" s="82"/>
      <c r="HZ22" s="61"/>
      <c r="IA22" s="61"/>
    </row>
    <row r="23" spans="1:235" s="26" customFormat="1">
      <c r="A23" s="61"/>
      <c r="B23" s="69"/>
      <c r="C23" s="107"/>
      <c r="D23" s="78"/>
      <c r="E23" s="61"/>
      <c r="F23" s="61"/>
      <c r="G23" s="61"/>
      <c r="H23" s="61"/>
      <c r="I23" s="61"/>
      <c r="J23" s="61"/>
      <c r="K23" s="107"/>
      <c r="L23" s="129"/>
      <c r="M23" s="54"/>
      <c r="N23" s="85"/>
      <c r="O23" s="112"/>
      <c r="P23" s="54"/>
      <c r="Q23" s="28"/>
      <c r="R23" s="61"/>
      <c r="S23" s="107"/>
      <c r="T23" s="107"/>
      <c r="U23" s="61"/>
      <c r="V23" s="61"/>
      <c r="W23" s="61"/>
      <c r="X23" s="61"/>
      <c r="Y23" s="61"/>
      <c r="Z23" s="61"/>
      <c r="AA23" s="61"/>
      <c r="AB23" s="61"/>
      <c r="AC23" s="61"/>
      <c r="AD23" s="61"/>
      <c r="AE23" s="61"/>
      <c r="AF23" s="79"/>
      <c r="AG23" s="61"/>
      <c r="AH23" s="61"/>
      <c r="AI23" s="61"/>
      <c r="AJ23" s="61"/>
      <c r="AK23" s="61"/>
      <c r="AL23" s="61"/>
      <c r="AM23" s="61"/>
      <c r="AN23" s="61"/>
      <c r="AO23" s="61"/>
      <c r="AP23" s="61"/>
      <c r="AQ23" s="61"/>
      <c r="AR23" s="61"/>
      <c r="AS23" s="61"/>
      <c r="AT23" s="61"/>
      <c r="AU23" s="61"/>
      <c r="AV23" s="61"/>
      <c r="AW23" s="61"/>
      <c r="AX23" s="118"/>
      <c r="AY23" s="61"/>
      <c r="AZ23" s="61"/>
      <c r="BA23" s="61"/>
      <c r="BB23" s="36">
        <f t="shared" si="2"/>
        <v>0</v>
      </c>
      <c r="BC23" s="61"/>
      <c r="BD23" s="61"/>
      <c r="BE23" s="61"/>
      <c r="BF23" s="36">
        <f t="shared" si="3"/>
        <v>0</v>
      </c>
      <c r="BG23" s="61"/>
      <c r="BH23" s="61"/>
      <c r="BI23" s="61"/>
      <c r="BJ23" s="61"/>
      <c r="BK23" s="61"/>
      <c r="BL23" s="61"/>
      <c r="BM23" s="61"/>
      <c r="BN23" s="80"/>
      <c r="BO23" s="80"/>
      <c r="BP23" s="90"/>
      <c r="BQ23" s="69"/>
      <c r="BR23" s="112"/>
      <c r="BS23" s="28"/>
      <c r="BT23" s="107"/>
      <c r="BU23" s="107"/>
      <c r="BV23" s="107"/>
      <c r="BW23" s="107"/>
      <c r="BX23" s="61"/>
      <c r="BY23" s="61"/>
      <c r="BZ23" s="61"/>
      <c r="CA23" s="61"/>
      <c r="CB23" s="61"/>
      <c r="CC23" s="61"/>
      <c r="CD23" s="61"/>
      <c r="CE23" s="61"/>
      <c r="CF23" s="61"/>
      <c r="CG23" s="61"/>
      <c r="CH23" s="61"/>
      <c r="CI23" s="83"/>
      <c r="CJ23" s="61"/>
      <c r="CK23" s="61"/>
      <c r="CL23" s="61"/>
      <c r="CM23" s="61"/>
      <c r="CN23" s="61"/>
      <c r="CO23" s="61"/>
      <c r="CP23" s="61"/>
      <c r="CQ23" s="61"/>
      <c r="CR23" s="61"/>
      <c r="CS23" s="61"/>
      <c r="CT23" s="61"/>
      <c r="CU23" s="61"/>
      <c r="CV23" s="61"/>
      <c r="CW23" s="61"/>
      <c r="CX23" s="61"/>
      <c r="CY23" s="61"/>
      <c r="CZ23" s="61"/>
      <c r="DA23" s="84"/>
      <c r="DB23" s="61"/>
      <c r="DC23" s="61"/>
      <c r="DD23" s="61"/>
      <c r="DE23" s="61"/>
      <c r="DF23" s="61"/>
      <c r="DG23" s="61"/>
      <c r="DH23" s="61"/>
      <c r="DI23" s="61"/>
      <c r="DJ23" s="61"/>
      <c r="DK23" s="61"/>
      <c r="DL23" s="61"/>
      <c r="DM23" s="61"/>
      <c r="DN23" s="61"/>
      <c r="DO23" s="61"/>
      <c r="DP23" s="61"/>
      <c r="DQ23" s="80"/>
      <c r="DR23" s="80"/>
      <c r="DS23" s="90"/>
      <c r="DT23" s="69"/>
      <c r="DU23" s="110"/>
      <c r="DV23" s="110"/>
      <c r="DW23" s="110"/>
      <c r="DX23" s="110"/>
      <c r="DY23" s="110"/>
      <c r="DZ23" s="110"/>
      <c r="EA23" s="110"/>
      <c r="EB23" s="110"/>
      <c r="EC23" s="110"/>
      <c r="ED23" s="110"/>
      <c r="EE23" s="110"/>
      <c r="EF23" s="110"/>
      <c r="EG23" s="110"/>
      <c r="EH23" s="110"/>
      <c r="EI23" s="110"/>
      <c r="EJ23" s="110"/>
      <c r="EK23" s="110"/>
      <c r="EL23" s="83"/>
      <c r="EM23" s="110"/>
      <c r="EN23" s="110"/>
      <c r="EO23" s="110"/>
      <c r="EP23" s="110"/>
      <c r="EQ23" s="110"/>
      <c r="ER23" s="110"/>
      <c r="ES23" s="110"/>
      <c r="ET23" s="110"/>
      <c r="EU23" s="110"/>
      <c r="EV23" s="110"/>
      <c r="EW23" s="110"/>
      <c r="EX23" s="110"/>
      <c r="EY23" s="110"/>
      <c r="EZ23" s="110"/>
      <c r="FA23" s="110"/>
      <c r="FB23" s="110"/>
      <c r="FC23" s="110"/>
      <c r="FD23" s="84"/>
      <c r="FE23" s="110"/>
      <c r="FF23" s="110"/>
      <c r="FG23" s="110"/>
      <c r="FH23" s="110"/>
      <c r="FI23" s="110"/>
      <c r="FJ23" s="110"/>
      <c r="FK23" s="110"/>
      <c r="FL23" s="110"/>
      <c r="FM23" s="110"/>
      <c r="FN23" s="110"/>
      <c r="FO23" s="110"/>
      <c r="FP23" s="36">
        <f t="shared" si="38"/>
        <v>0</v>
      </c>
      <c r="FQ23" s="110"/>
      <c r="FR23" s="110"/>
      <c r="FS23" s="110"/>
      <c r="FT23" s="80"/>
      <c r="FU23" s="80"/>
      <c r="FV23" s="91"/>
      <c r="FW23" s="85"/>
      <c r="FX23" s="110"/>
      <c r="FY23" s="110"/>
      <c r="FZ23" s="110"/>
      <c r="GA23" s="110"/>
      <c r="GB23" s="110"/>
      <c r="GC23" s="110"/>
      <c r="GD23" s="110"/>
      <c r="GE23" s="110"/>
      <c r="GF23" s="110"/>
      <c r="GG23" s="110"/>
      <c r="GH23" s="110"/>
      <c r="GI23" s="110"/>
      <c r="GJ23" s="110"/>
      <c r="GK23" s="110"/>
      <c r="GL23" s="110"/>
      <c r="GM23" s="110"/>
      <c r="GN23" s="110"/>
      <c r="GO23" s="92"/>
      <c r="GP23" s="110"/>
      <c r="GQ23" s="110"/>
      <c r="GR23" s="110"/>
      <c r="GS23" s="110"/>
      <c r="GT23" s="110"/>
      <c r="GU23" s="110"/>
      <c r="GV23" s="110"/>
      <c r="GW23" s="110"/>
      <c r="GX23" s="110"/>
      <c r="GY23" s="110"/>
      <c r="GZ23" s="110"/>
      <c r="HA23" s="110"/>
      <c r="HB23" s="110"/>
      <c r="HC23" s="110"/>
      <c r="HD23" s="110"/>
      <c r="HE23" s="110"/>
      <c r="HF23" s="110"/>
      <c r="HG23" s="127"/>
      <c r="HH23" s="110"/>
      <c r="HI23" s="110"/>
      <c r="HJ23" s="110"/>
      <c r="HK23" s="110"/>
      <c r="HL23" s="110"/>
      <c r="HM23" s="110"/>
      <c r="HN23" s="110"/>
      <c r="HO23" s="110"/>
      <c r="HP23" s="110"/>
      <c r="HQ23" s="110"/>
      <c r="HR23" s="110"/>
      <c r="HS23" s="110"/>
      <c r="HT23" s="110"/>
      <c r="HU23" s="110"/>
      <c r="HV23" s="110"/>
      <c r="HW23" s="93"/>
      <c r="HX23" s="93"/>
      <c r="HY23" s="94"/>
      <c r="HZ23" s="61"/>
      <c r="IA23" s="61"/>
    </row>
    <row r="24" spans="1:235" s="26" customFormat="1">
      <c r="A24" s="61"/>
      <c r="B24" s="69"/>
      <c r="C24" s="61"/>
      <c r="D24" s="78"/>
      <c r="E24" s="61"/>
      <c r="F24" s="61"/>
      <c r="G24" s="61"/>
      <c r="H24" s="61"/>
      <c r="I24" s="61"/>
      <c r="J24" s="61"/>
      <c r="K24" s="61"/>
      <c r="L24" s="78"/>
      <c r="M24" s="107"/>
      <c r="N24" s="69"/>
      <c r="O24" s="112"/>
      <c r="P24" s="54"/>
      <c r="Q24" s="28"/>
      <c r="R24" s="61"/>
      <c r="S24" s="107"/>
      <c r="T24" s="107"/>
      <c r="U24" s="61"/>
      <c r="V24" s="61"/>
      <c r="W24" s="61"/>
      <c r="X24" s="61"/>
      <c r="Y24" s="61"/>
      <c r="Z24" s="61"/>
      <c r="AA24" s="61"/>
      <c r="AB24" s="61"/>
      <c r="AC24" s="61"/>
      <c r="AD24" s="61"/>
      <c r="AE24" s="61"/>
      <c r="AF24" s="79"/>
      <c r="AG24" s="61"/>
      <c r="AH24" s="61"/>
      <c r="AI24" s="61"/>
      <c r="AJ24" s="61"/>
      <c r="AK24" s="61"/>
      <c r="AL24" s="61"/>
      <c r="AM24" s="61"/>
      <c r="AN24" s="61"/>
      <c r="AO24" s="61"/>
      <c r="AP24" s="61"/>
      <c r="AQ24" s="61"/>
      <c r="AR24" s="61"/>
      <c r="AS24" s="61"/>
      <c r="AT24" s="61"/>
      <c r="AU24" s="61"/>
      <c r="AV24" s="61"/>
      <c r="AW24" s="61"/>
      <c r="AX24" s="118"/>
      <c r="AY24" s="61"/>
      <c r="AZ24" s="61"/>
      <c r="BA24" s="61"/>
      <c r="BB24" s="36">
        <f t="shared" si="2"/>
        <v>0</v>
      </c>
      <c r="BC24" s="61"/>
      <c r="BD24" s="61"/>
      <c r="BE24" s="61"/>
      <c r="BF24" s="36">
        <f t="shared" si="3"/>
        <v>0</v>
      </c>
      <c r="BG24" s="61"/>
      <c r="BH24" s="61"/>
      <c r="BI24" s="61"/>
      <c r="BJ24" s="61"/>
      <c r="BK24" s="61"/>
      <c r="BL24" s="61"/>
      <c r="BM24" s="61"/>
      <c r="BN24" s="80"/>
      <c r="BO24" s="80"/>
      <c r="BP24" s="90"/>
      <c r="BQ24" s="69"/>
      <c r="BR24" s="112"/>
      <c r="BS24" s="28"/>
      <c r="BT24" s="107"/>
      <c r="BU24" s="61"/>
      <c r="BV24" s="107"/>
      <c r="BW24" s="107"/>
      <c r="BX24" s="61"/>
      <c r="BY24" s="61"/>
      <c r="BZ24" s="61"/>
      <c r="CA24" s="61"/>
      <c r="CB24" s="61"/>
      <c r="CC24" s="61"/>
      <c r="CD24" s="61"/>
      <c r="CE24" s="61"/>
      <c r="CF24" s="61"/>
      <c r="CG24" s="61"/>
      <c r="CH24" s="61"/>
      <c r="CI24" s="83"/>
      <c r="CJ24" s="61"/>
      <c r="CK24" s="61"/>
      <c r="CL24" s="61"/>
      <c r="CM24" s="61"/>
      <c r="CN24" s="61"/>
      <c r="CO24" s="61"/>
      <c r="CP24" s="61"/>
      <c r="CQ24" s="61"/>
      <c r="CR24" s="61"/>
      <c r="CS24" s="61"/>
      <c r="CT24" s="61"/>
      <c r="CU24" s="61"/>
      <c r="CV24" s="61"/>
      <c r="CW24" s="61"/>
      <c r="CX24" s="61"/>
      <c r="CY24" s="61"/>
      <c r="CZ24" s="61"/>
      <c r="DA24" s="84"/>
      <c r="DB24" s="61"/>
      <c r="DC24" s="61"/>
      <c r="DD24" s="61"/>
      <c r="DE24" s="61"/>
      <c r="DF24" s="61"/>
      <c r="DG24" s="61"/>
      <c r="DH24" s="61"/>
      <c r="DI24" s="61"/>
      <c r="DJ24" s="61"/>
      <c r="DK24" s="61"/>
      <c r="DL24" s="61"/>
      <c r="DM24" s="61"/>
      <c r="DN24" s="61"/>
      <c r="DO24" s="61"/>
      <c r="DP24" s="61"/>
      <c r="DQ24" s="80"/>
      <c r="DR24" s="80"/>
      <c r="DS24" s="90"/>
      <c r="DT24" s="69"/>
      <c r="DU24" s="112"/>
      <c r="DV24" s="28"/>
      <c r="DW24" s="28"/>
      <c r="DX24" s="61"/>
      <c r="DY24" s="107"/>
      <c r="DZ24" s="107"/>
      <c r="EA24" s="61"/>
      <c r="EB24" s="61"/>
      <c r="EC24" s="61"/>
      <c r="ED24" s="61"/>
      <c r="EE24" s="61"/>
      <c r="EF24" s="61"/>
      <c r="EG24" s="61"/>
      <c r="EH24" s="61"/>
      <c r="EI24" s="61"/>
      <c r="EJ24" s="61"/>
      <c r="EK24" s="61"/>
      <c r="EL24" s="83"/>
      <c r="EM24" s="61"/>
      <c r="EN24" s="61"/>
      <c r="EO24" s="61"/>
      <c r="EP24" s="61"/>
      <c r="EQ24" s="61"/>
      <c r="ER24" s="61"/>
      <c r="ES24" s="61"/>
      <c r="ET24" s="61"/>
      <c r="EU24" s="61"/>
      <c r="EV24" s="61"/>
      <c r="EW24" s="61"/>
      <c r="EX24" s="61"/>
      <c r="EY24" s="61"/>
      <c r="EZ24" s="61"/>
      <c r="FA24" s="61"/>
      <c r="FB24" s="61"/>
      <c r="FC24" s="61"/>
      <c r="FD24" s="84"/>
      <c r="FE24" s="61"/>
      <c r="FF24" s="61"/>
      <c r="FG24" s="61"/>
      <c r="FH24" s="61"/>
      <c r="FI24" s="61"/>
      <c r="FJ24" s="61"/>
      <c r="FK24" s="61"/>
      <c r="FL24" s="61"/>
      <c r="FM24" s="61"/>
      <c r="FN24" s="61"/>
      <c r="FO24" s="61"/>
      <c r="FP24" s="61"/>
      <c r="FQ24" s="61"/>
      <c r="FR24" s="61"/>
      <c r="FS24" s="61"/>
      <c r="FT24" s="80"/>
      <c r="FU24" s="80"/>
      <c r="FV24" s="90"/>
      <c r="FW24" s="69"/>
      <c r="FX24" s="61"/>
      <c r="FY24" s="61"/>
      <c r="FZ24" s="61"/>
      <c r="GA24" s="61"/>
      <c r="GB24" s="61"/>
      <c r="GC24" s="61"/>
      <c r="GD24" s="61"/>
      <c r="GE24" s="61"/>
      <c r="GF24" s="61"/>
      <c r="GG24" s="61"/>
      <c r="GH24" s="61"/>
      <c r="GI24" s="61"/>
      <c r="GJ24" s="61"/>
      <c r="GK24" s="61"/>
      <c r="GL24" s="61"/>
      <c r="GM24" s="61"/>
      <c r="GN24" s="61"/>
      <c r="GO24" s="83"/>
      <c r="GP24" s="61"/>
      <c r="GQ24" s="61"/>
      <c r="GR24" s="61"/>
      <c r="GS24" s="61"/>
      <c r="GT24" s="61"/>
      <c r="GU24" s="61"/>
      <c r="GV24" s="61"/>
      <c r="GW24" s="61"/>
      <c r="GX24" s="61"/>
      <c r="GY24" s="61"/>
      <c r="GZ24" s="61"/>
      <c r="HA24" s="61"/>
      <c r="HB24" s="61"/>
      <c r="HC24" s="61"/>
      <c r="HD24" s="61"/>
      <c r="HE24" s="61"/>
      <c r="HF24" s="61"/>
      <c r="HG24" s="119"/>
      <c r="HH24" s="61"/>
      <c r="HI24" s="61"/>
      <c r="HJ24" s="61"/>
      <c r="HK24" s="61"/>
      <c r="HL24" s="61"/>
      <c r="HM24" s="61"/>
      <c r="HN24" s="61"/>
      <c r="HO24" s="61"/>
      <c r="HP24" s="61"/>
      <c r="HQ24" s="61"/>
      <c r="HR24" s="61"/>
      <c r="HS24" s="61"/>
      <c r="HT24" s="61"/>
      <c r="HU24" s="61"/>
      <c r="HV24" s="61"/>
      <c r="HW24" s="80"/>
      <c r="HX24" s="80"/>
      <c r="HY24" s="82"/>
      <c r="HZ24" s="61"/>
      <c r="IA24" s="61"/>
    </row>
    <row r="25" spans="1:235" s="26" customFormat="1">
      <c r="A25" s="61"/>
      <c r="B25" s="69"/>
      <c r="C25" s="61"/>
      <c r="D25" s="78"/>
      <c r="E25" s="61"/>
      <c r="F25" s="61"/>
      <c r="G25" s="61"/>
      <c r="H25" s="107"/>
      <c r="I25" s="61"/>
      <c r="J25" s="61"/>
      <c r="K25" s="61"/>
      <c r="L25" s="130"/>
      <c r="M25" s="61"/>
      <c r="N25" s="69"/>
      <c r="O25" s="112"/>
      <c r="P25" s="28"/>
      <c r="Q25" s="28"/>
      <c r="R25" s="61"/>
      <c r="S25" s="107"/>
      <c r="T25" s="107"/>
      <c r="U25" s="61"/>
      <c r="V25" s="61"/>
      <c r="W25" s="61"/>
      <c r="X25" s="61"/>
      <c r="Y25" s="61"/>
      <c r="Z25" s="61"/>
      <c r="AA25" s="61"/>
      <c r="AB25" s="61"/>
      <c r="AC25" s="61"/>
      <c r="AD25" s="61"/>
      <c r="AE25" s="61"/>
      <c r="AF25" s="79"/>
      <c r="AG25" s="61"/>
      <c r="AH25" s="61"/>
      <c r="AI25" s="61"/>
      <c r="AJ25" s="61"/>
      <c r="AK25" s="61"/>
      <c r="AL25" s="61"/>
      <c r="AM25" s="61"/>
      <c r="AN25" s="61"/>
      <c r="AO25" s="61"/>
      <c r="AP25" s="61"/>
      <c r="AQ25" s="61"/>
      <c r="AR25" s="61"/>
      <c r="AS25" s="61"/>
      <c r="AT25" s="61"/>
      <c r="AU25" s="61"/>
      <c r="AV25" s="61"/>
      <c r="AW25" s="61"/>
      <c r="AX25" s="118"/>
      <c r="AY25" s="61"/>
      <c r="AZ25" s="61"/>
      <c r="BA25" s="61"/>
      <c r="BB25" s="36">
        <f t="shared" si="2"/>
        <v>0</v>
      </c>
      <c r="BC25" s="61"/>
      <c r="BD25" s="61"/>
      <c r="BE25" s="61"/>
      <c r="BF25" s="36">
        <f t="shared" si="3"/>
        <v>0</v>
      </c>
      <c r="BG25" s="61"/>
      <c r="BH25" s="61"/>
      <c r="BI25" s="61"/>
      <c r="BJ25" s="61"/>
      <c r="BK25" s="61"/>
      <c r="BL25" s="61"/>
      <c r="BM25" s="61"/>
      <c r="BN25" s="80"/>
      <c r="BO25" s="80"/>
      <c r="BP25" s="90"/>
      <c r="BQ25" s="69"/>
      <c r="BR25" s="61"/>
      <c r="BS25" s="61"/>
      <c r="BT25" s="61"/>
      <c r="BU25" s="61"/>
      <c r="BV25" s="61"/>
      <c r="BW25" s="61"/>
      <c r="BX25" s="61"/>
      <c r="BY25" s="61"/>
      <c r="BZ25" s="61"/>
      <c r="CA25" s="61"/>
      <c r="CB25" s="61"/>
      <c r="CC25" s="61"/>
      <c r="CD25" s="61"/>
      <c r="CE25" s="61"/>
      <c r="CF25" s="61"/>
      <c r="CG25" s="61"/>
      <c r="CH25" s="61"/>
      <c r="CI25" s="83"/>
      <c r="CJ25" s="61"/>
      <c r="CK25" s="61"/>
      <c r="CL25" s="61"/>
      <c r="CM25" s="61"/>
      <c r="CN25" s="61"/>
      <c r="CO25" s="61"/>
      <c r="CP25" s="61"/>
      <c r="CQ25" s="61"/>
      <c r="CR25" s="61"/>
      <c r="CS25" s="61"/>
      <c r="CT25" s="61"/>
      <c r="CU25" s="61"/>
      <c r="CV25" s="61"/>
      <c r="CW25" s="61"/>
      <c r="CX25" s="61"/>
      <c r="CY25" s="61"/>
      <c r="CZ25" s="61"/>
      <c r="DA25" s="84"/>
      <c r="DB25" s="61"/>
      <c r="DC25" s="61"/>
      <c r="DD25" s="61"/>
      <c r="DE25" s="61"/>
      <c r="DF25" s="61"/>
      <c r="DG25" s="61"/>
      <c r="DH25" s="61"/>
      <c r="DI25" s="61"/>
      <c r="DJ25" s="61"/>
      <c r="DK25" s="61"/>
      <c r="DL25" s="61"/>
      <c r="DM25" s="61"/>
      <c r="DN25" s="61"/>
      <c r="DO25" s="61"/>
      <c r="DP25" s="61"/>
      <c r="DQ25" s="80"/>
      <c r="DR25" s="80"/>
      <c r="DS25" s="90"/>
      <c r="DT25" s="69"/>
      <c r="DU25" s="61"/>
      <c r="DV25" s="61"/>
      <c r="DW25" s="61"/>
      <c r="DX25" s="61"/>
      <c r="DY25" s="61"/>
      <c r="DZ25" s="61"/>
      <c r="EA25" s="61"/>
      <c r="EB25" s="61"/>
      <c r="EC25" s="61"/>
      <c r="ED25" s="61"/>
      <c r="EE25" s="61"/>
      <c r="EF25" s="61"/>
      <c r="EG25" s="61"/>
      <c r="EH25" s="61"/>
      <c r="EI25" s="61"/>
      <c r="EJ25" s="61"/>
      <c r="EK25" s="61"/>
      <c r="EL25" s="83"/>
      <c r="EM25" s="61"/>
      <c r="EN25" s="61"/>
      <c r="EO25" s="61"/>
      <c r="EP25" s="61"/>
      <c r="EQ25" s="61"/>
      <c r="ER25" s="61"/>
      <c r="ES25" s="61"/>
      <c r="ET25" s="61"/>
      <c r="EU25" s="61"/>
      <c r="EV25" s="61"/>
      <c r="EW25" s="61"/>
      <c r="EX25" s="61"/>
      <c r="EY25" s="61"/>
      <c r="EZ25" s="61"/>
      <c r="FA25" s="61"/>
      <c r="FB25" s="61"/>
      <c r="FC25" s="61"/>
      <c r="FD25" s="84"/>
      <c r="FE25" s="61"/>
      <c r="FF25" s="61"/>
      <c r="FG25" s="61"/>
      <c r="FH25" s="61"/>
      <c r="FI25" s="61"/>
      <c r="FJ25" s="61"/>
      <c r="FK25" s="61"/>
      <c r="FL25" s="61"/>
      <c r="FM25" s="61"/>
      <c r="FN25" s="61"/>
      <c r="FO25" s="61"/>
      <c r="FP25" s="61"/>
      <c r="FQ25" s="61"/>
      <c r="FR25" s="61"/>
      <c r="FS25" s="61"/>
      <c r="FT25" s="80"/>
      <c r="FU25" s="80"/>
      <c r="FV25" s="90"/>
      <c r="FW25" s="69"/>
      <c r="FX25" s="61"/>
      <c r="FY25" s="61"/>
      <c r="FZ25" s="61"/>
      <c r="GA25" s="61"/>
      <c r="GB25" s="61"/>
      <c r="GC25" s="61"/>
      <c r="GD25" s="61"/>
      <c r="GE25" s="61"/>
      <c r="GF25" s="61"/>
      <c r="GG25" s="61"/>
      <c r="GH25" s="61"/>
      <c r="GI25" s="61"/>
      <c r="GJ25" s="61"/>
      <c r="GK25" s="61"/>
      <c r="GL25" s="61"/>
      <c r="GM25" s="61"/>
      <c r="GN25" s="61"/>
      <c r="GO25" s="83"/>
      <c r="GP25" s="61"/>
      <c r="GQ25" s="61"/>
      <c r="GR25" s="61"/>
      <c r="GS25" s="61"/>
      <c r="GT25" s="61"/>
      <c r="GU25" s="61"/>
      <c r="GV25" s="61"/>
      <c r="GW25" s="61"/>
      <c r="GX25" s="61"/>
      <c r="GY25" s="61"/>
      <c r="GZ25" s="61"/>
      <c r="HA25" s="61"/>
      <c r="HB25" s="61"/>
      <c r="HC25" s="61"/>
      <c r="HD25" s="61"/>
      <c r="HE25" s="61"/>
      <c r="HF25" s="61"/>
      <c r="HG25" s="119"/>
      <c r="HH25" s="61"/>
      <c r="HI25" s="61"/>
      <c r="HJ25" s="61"/>
      <c r="HK25" s="61"/>
      <c r="HL25" s="61"/>
      <c r="HM25" s="61"/>
      <c r="HN25" s="61"/>
      <c r="HO25" s="61"/>
      <c r="HP25" s="61"/>
      <c r="HQ25" s="61"/>
      <c r="HR25" s="61"/>
      <c r="HS25" s="61"/>
      <c r="HT25" s="61"/>
      <c r="HU25" s="61"/>
      <c r="HV25" s="61"/>
      <c r="HW25" s="80"/>
      <c r="HX25" s="80"/>
      <c r="HY25" s="82"/>
      <c r="HZ25" s="61"/>
      <c r="IA25" s="61"/>
    </row>
    <row r="26" spans="1:235" s="26" customFormat="1">
      <c r="A26" s="61"/>
      <c r="B26" s="69"/>
      <c r="C26" s="61"/>
      <c r="D26" s="78"/>
      <c r="E26" s="61"/>
      <c r="F26" s="61"/>
      <c r="G26" s="61"/>
      <c r="H26" s="61"/>
      <c r="I26" s="61"/>
      <c r="J26" s="61"/>
      <c r="K26" s="61"/>
      <c r="L26" s="130"/>
      <c r="M26" s="61"/>
      <c r="N26" s="69"/>
      <c r="O26" s="112"/>
      <c r="P26" s="28"/>
      <c r="Q26" s="28"/>
      <c r="R26" s="61"/>
      <c r="S26" s="107"/>
      <c r="T26" s="107"/>
      <c r="U26" s="61"/>
      <c r="V26" s="61"/>
      <c r="W26" s="61"/>
      <c r="X26" s="61"/>
      <c r="Y26" s="61"/>
      <c r="Z26" s="61"/>
      <c r="AA26" s="61"/>
      <c r="AB26" s="61"/>
      <c r="AC26" s="61"/>
      <c r="AD26" s="61"/>
      <c r="AE26" s="61"/>
      <c r="AF26" s="79"/>
      <c r="AG26" s="61"/>
      <c r="AH26" s="61"/>
      <c r="AI26" s="61"/>
      <c r="AJ26" s="61"/>
      <c r="AK26" s="61"/>
      <c r="AL26" s="61"/>
      <c r="AM26" s="61"/>
      <c r="AN26" s="61"/>
      <c r="AO26" s="61"/>
      <c r="AP26" s="61"/>
      <c r="AQ26" s="61"/>
      <c r="AR26" s="61"/>
      <c r="AS26" s="61"/>
      <c r="AT26" s="61"/>
      <c r="AU26" s="61"/>
      <c r="AV26" s="61"/>
      <c r="AW26" s="61"/>
      <c r="AX26" s="118"/>
      <c r="AY26" s="61"/>
      <c r="AZ26" s="61"/>
      <c r="BA26" s="61"/>
      <c r="BB26" s="61"/>
      <c r="BC26" s="61"/>
      <c r="BD26" s="61"/>
      <c r="BE26" s="61"/>
      <c r="BF26" s="36">
        <f t="shared" si="3"/>
        <v>0</v>
      </c>
      <c r="BG26" s="61"/>
      <c r="BH26" s="61"/>
      <c r="BI26" s="61"/>
      <c r="BJ26" s="61"/>
      <c r="BK26" s="61"/>
      <c r="BL26" s="61"/>
      <c r="BM26" s="61"/>
      <c r="BN26" s="80"/>
      <c r="BO26" s="80"/>
      <c r="BP26" s="90"/>
      <c r="BQ26" s="69"/>
      <c r="BR26" s="61"/>
      <c r="BS26" s="61"/>
      <c r="BT26" s="61"/>
      <c r="BU26" s="61"/>
      <c r="BV26" s="61"/>
      <c r="BW26" s="61"/>
      <c r="BX26" s="61"/>
      <c r="BY26" s="61"/>
      <c r="BZ26" s="61"/>
      <c r="CA26" s="61"/>
      <c r="CB26" s="61"/>
      <c r="CC26" s="61"/>
      <c r="CD26" s="61"/>
      <c r="CE26" s="61"/>
      <c r="CF26" s="61"/>
      <c r="CG26" s="61"/>
      <c r="CH26" s="61"/>
      <c r="CI26" s="83"/>
      <c r="CJ26" s="61"/>
      <c r="CK26" s="61"/>
      <c r="CL26" s="61"/>
      <c r="CM26" s="61"/>
      <c r="CN26" s="61"/>
      <c r="CO26" s="61"/>
      <c r="CP26" s="61"/>
      <c r="CQ26" s="61"/>
      <c r="CR26" s="61"/>
      <c r="CS26" s="61"/>
      <c r="CT26" s="61"/>
      <c r="CU26" s="61"/>
      <c r="CV26" s="61"/>
      <c r="CW26" s="61"/>
      <c r="CX26" s="61"/>
      <c r="CY26" s="61"/>
      <c r="CZ26" s="61"/>
      <c r="DA26" s="84"/>
      <c r="DB26" s="61"/>
      <c r="DC26" s="61"/>
      <c r="DD26" s="61"/>
      <c r="DE26" s="61"/>
      <c r="DF26" s="61"/>
      <c r="DG26" s="61"/>
      <c r="DH26" s="61"/>
      <c r="DI26" s="61"/>
      <c r="DJ26" s="61"/>
      <c r="DK26" s="61"/>
      <c r="DL26" s="61"/>
      <c r="DM26" s="61"/>
      <c r="DN26" s="61"/>
      <c r="DO26" s="61"/>
      <c r="DP26" s="61"/>
      <c r="DQ26" s="80"/>
      <c r="DR26" s="80"/>
      <c r="DS26" s="90"/>
      <c r="DT26" s="69"/>
      <c r="DU26" s="61"/>
      <c r="DV26" s="61"/>
      <c r="DW26" s="61"/>
      <c r="DX26" s="61"/>
      <c r="DY26" s="61"/>
      <c r="DZ26" s="61"/>
      <c r="EA26" s="61"/>
      <c r="EB26" s="61"/>
      <c r="EC26" s="61"/>
      <c r="ED26" s="61"/>
      <c r="EE26" s="61"/>
      <c r="EF26" s="61"/>
      <c r="EG26" s="61"/>
      <c r="EH26" s="61"/>
      <c r="EI26" s="61"/>
      <c r="EJ26" s="61"/>
      <c r="EK26" s="61"/>
      <c r="EL26" s="83"/>
      <c r="EM26" s="61"/>
      <c r="EN26" s="61"/>
      <c r="EO26" s="61"/>
      <c r="EP26" s="61"/>
      <c r="EQ26" s="61"/>
      <c r="ER26" s="61"/>
      <c r="ES26" s="61"/>
      <c r="ET26" s="61"/>
      <c r="EU26" s="61"/>
      <c r="EV26" s="61"/>
      <c r="EW26" s="61"/>
      <c r="EX26" s="61"/>
      <c r="EY26" s="61"/>
      <c r="EZ26" s="61"/>
      <c r="FA26" s="61"/>
      <c r="FB26" s="61"/>
      <c r="FC26" s="61"/>
      <c r="FD26" s="84"/>
      <c r="FE26" s="61"/>
      <c r="FF26" s="61"/>
      <c r="FG26" s="61"/>
      <c r="FH26" s="61"/>
      <c r="FI26" s="61"/>
      <c r="FJ26" s="61"/>
      <c r="FK26" s="61"/>
      <c r="FL26" s="61"/>
      <c r="FM26" s="61"/>
      <c r="FN26" s="61"/>
      <c r="FO26" s="61"/>
      <c r="FP26" s="61"/>
      <c r="FQ26" s="61"/>
      <c r="FR26" s="61"/>
      <c r="FS26" s="61"/>
      <c r="FT26" s="80"/>
      <c r="FU26" s="80"/>
      <c r="FV26" s="90"/>
      <c r="FW26" s="69"/>
      <c r="FX26" s="61"/>
      <c r="FY26" s="61"/>
      <c r="FZ26" s="61"/>
      <c r="GA26" s="61"/>
      <c r="GB26" s="61"/>
      <c r="GC26" s="61"/>
      <c r="GD26" s="61"/>
      <c r="GE26" s="61"/>
      <c r="GF26" s="61"/>
      <c r="GG26" s="61"/>
      <c r="GH26" s="61"/>
      <c r="GI26" s="61"/>
      <c r="GJ26" s="61"/>
      <c r="GK26" s="61"/>
      <c r="GL26" s="61"/>
      <c r="GM26" s="61"/>
      <c r="GN26" s="61"/>
      <c r="GO26" s="83"/>
      <c r="GP26" s="61"/>
      <c r="GQ26" s="61"/>
      <c r="GR26" s="61"/>
      <c r="GS26" s="61"/>
      <c r="GT26" s="61"/>
      <c r="GU26" s="61"/>
      <c r="GV26" s="61"/>
      <c r="GW26" s="61"/>
      <c r="GX26" s="61"/>
      <c r="GY26" s="61"/>
      <c r="GZ26" s="61"/>
      <c r="HA26" s="61"/>
      <c r="HB26" s="61"/>
      <c r="HC26" s="61"/>
      <c r="HD26" s="61"/>
      <c r="HE26" s="61"/>
      <c r="HF26" s="61"/>
      <c r="HG26" s="119"/>
      <c r="HH26" s="61"/>
      <c r="HI26" s="61"/>
      <c r="HJ26" s="61"/>
      <c r="HK26" s="61"/>
      <c r="HL26" s="61"/>
      <c r="HM26" s="61"/>
      <c r="HN26" s="61"/>
      <c r="HO26" s="61"/>
      <c r="HP26" s="61"/>
      <c r="HQ26" s="61"/>
      <c r="HR26" s="61"/>
      <c r="HS26" s="61"/>
      <c r="HT26" s="61"/>
      <c r="HU26" s="61"/>
      <c r="HV26" s="61"/>
      <c r="HW26" s="80"/>
      <c r="HX26" s="80"/>
      <c r="HY26" s="82"/>
      <c r="HZ26" s="61"/>
      <c r="IA26" s="61"/>
    </row>
    <row r="27" spans="1:235" s="26" customFormat="1">
      <c r="A27" s="61"/>
      <c r="B27" s="69"/>
      <c r="C27" s="107"/>
      <c r="D27" s="78"/>
      <c r="E27" s="61"/>
      <c r="F27" s="61"/>
      <c r="G27" s="61"/>
      <c r="H27" s="107"/>
      <c r="I27" s="61"/>
      <c r="J27" s="61"/>
      <c r="K27" s="107"/>
      <c r="L27" s="78"/>
      <c r="M27" s="107"/>
      <c r="N27" s="69"/>
      <c r="O27" s="112"/>
      <c r="P27" s="28"/>
      <c r="Q27" s="28"/>
      <c r="R27" s="61"/>
      <c r="S27" s="107"/>
      <c r="T27" s="107"/>
      <c r="U27" s="61"/>
      <c r="V27" s="61"/>
      <c r="W27" s="61"/>
      <c r="X27" s="61"/>
      <c r="Y27" s="61"/>
      <c r="Z27" s="61"/>
      <c r="AA27" s="61"/>
      <c r="AB27" s="61"/>
      <c r="AC27" s="61"/>
      <c r="AD27" s="61"/>
      <c r="AE27" s="61"/>
      <c r="AF27" s="79"/>
      <c r="AG27" s="61"/>
      <c r="AH27" s="61"/>
      <c r="AI27" s="61"/>
      <c r="AJ27" s="61"/>
      <c r="AK27" s="61"/>
      <c r="AL27" s="61"/>
      <c r="AM27" s="61"/>
      <c r="AN27" s="61"/>
      <c r="AO27" s="61"/>
      <c r="AP27" s="61"/>
      <c r="AQ27" s="61"/>
      <c r="AR27" s="61"/>
      <c r="AS27" s="61"/>
      <c r="AT27" s="61"/>
      <c r="AU27" s="61"/>
      <c r="AV27" s="61"/>
      <c r="AW27" s="61"/>
      <c r="AX27" s="118"/>
      <c r="AY27" s="61"/>
      <c r="AZ27" s="61"/>
      <c r="BA27" s="61"/>
      <c r="BB27" s="61"/>
      <c r="BC27" s="61"/>
      <c r="BD27" s="61"/>
      <c r="BE27" s="61"/>
      <c r="BF27" s="61"/>
      <c r="BG27" s="61"/>
      <c r="BH27" s="61"/>
      <c r="BI27" s="61"/>
      <c r="BJ27" s="61"/>
      <c r="BK27" s="61"/>
      <c r="BL27" s="61"/>
      <c r="BM27" s="61"/>
      <c r="BN27" s="80"/>
      <c r="BO27" s="80"/>
      <c r="BP27" s="90"/>
      <c r="BQ27" s="69"/>
      <c r="BR27" s="112"/>
      <c r="BS27" s="28"/>
      <c r="BT27" s="107"/>
      <c r="BU27" s="61"/>
      <c r="BV27" s="107"/>
      <c r="BW27" s="107"/>
      <c r="BX27" s="61"/>
      <c r="BY27" s="61"/>
      <c r="BZ27" s="61"/>
      <c r="CA27" s="61"/>
      <c r="CB27" s="61"/>
      <c r="CC27" s="61"/>
      <c r="CD27" s="61"/>
      <c r="CE27" s="61"/>
      <c r="CF27" s="61"/>
      <c r="CG27" s="61"/>
      <c r="CH27" s="61"/>
      <c r="CI27" s="83"/>
      <c r="CJ27" s="61"/>
      <c r="CK27" s="61"/>
      <c r="CL27" s="61"/>
      <c r="CM27" s="61"/>
      <c r="CN27" s="61"/>
      <c r="CO27" s="61"/>
      <c r="CP27" s="61"/>
      <c r="CQ27" s="61"/>
      <c r="CR27" s="61"/>
      <c r="CS27" s="61"/>
      <c r="CT27" s="61"/>
      <c r="CU27" s="61"/>
      <c r="CV27" s="61"/>
      <c r="CW27" s="61"/>
      <c r="CX27" s="61"/>
      <c r="CY27" s="61"/>
      <c r="CZ27" s="61"/>
      <c r="DA27" s="84"/>
      <c r="DB27" s="61"/>
      <c r="DC27" s="61"/>
      <c r="DD27" s="61"/>
      <c r="DE27" s="61"/>
      <c r="DF27" s="61"/>
      <c r="DG27" s="61"/>
      <c r="DH27" s="61"/>
      <c r="DI27" s="61"/>
      <c r="DJ27" s="61"/>
      <c r="DK27" s="61"/>
      <c r="DL27" s="61"/>
      <c r="DM27" s="61"/>
      <c r="DN27" s="61"/>
      <c r="DO27" s="61"/>
      <c r="DP27" s="61"/>
      <c r="DQ27" s="80"/>
      <c r="DR27" s="80"/>
      <c r="DS27" s="90"/>
      <c r="DT27" s="69"/>
      <c r="DU27" s="61"/>
      <c r="DV27" s="61"/>
      <c r="DW27" s="61"/>
      <c r="DX27" s="61"/>
      <c r="DY27" s="61"/>
      <c r="DZ27" s="61"/>
      <c r="EA27" s="61"/>
      <c r="EB27" s="61"/>
      <c r="EC27" s="61"/>
      <c r="ED27" s="61"/>
      <c r="EE27" s="61"/>
      <c r="EF27" s="61"/>
      <c r="EG27" s="61"/>
      <c r="EH27" s="61"/>
      <c r="EI27" s="61"/>
      <c r="EJ27" s="61"/>
      <c r="EK27" s="61"/>
      <c r="EL27" s="83"/>
      <c r="EM27" s="61"/>
      <c r="EN27" s="61"/>
      <c r="EO27" s="61"/>
      <c r="EP27" s="61"/>
      <c r="EQ27" s="61"/>
      <c r="ER27" s="61"/>
      <c r="ES27" s="61"/>
      <c r="ET27" s="61"/>
      <c r="EU27" s="61"/>
      <c r="EV27" s="61"/>
      <c r="EW27" s="61"/>
      <c r="EX27" s="61"/>
      <c r="EY27" s="61"/>
      <c r="EZ27" s="61"/>
      <c r="FA27" s="61"/>
      <c r="FB27" s="61"/>
      <c r="FC27" s="61"/>
      <c r="FD27" s="84"/>
      <c r="FE27" s="61"/>
      <c r="FF27" s="61"/>
      <c r="FG27" s="61"/>
      <c r="FH27" s="61"/>
      <c r="FI27" s="61"/>
      <c r="FJ27" s="61"/>
      <c r="FK27" s="61"/>
      <c r="FL27" s="61"/>
      <c r="FM27" s="61"/>
      <c r="FN27" s="61"/>
      <c r="FO27" s="61"/>
      <c r="FP27" s="61"/>
      <c r="FQ27" s="61"/>
      <c r="FR27" s="61"/>
      <c r="FS27" s="61"/>
      <c r="FT27" s="80"/>
      <c r="FU27" s="80"/>
      <c r="FV27" s="90"/>
      <c r="FW27" s="69"/>
      <c r="FX27" s="61"/>
      <c r="FY27" s="61"/>
      <c r="FZ27" s="61"/>
      <c r="GA27" s="61"/>
      <c r="GB27" s="61"/>
      <c r="GC27" s="61"/>
      <c r="GD27" s="61"/>
      <c r="GE27" s="61"/>
      <c r="GF27" s="61"/>
      <c r="GG27" s="61"/>
      <c r="GH27" s="61"/>
      <c r="GI27" s="61"/>
      <c r="GJ27" s="61"/>
      <c r="GK27" s="61"/>
      <c r="GL27" s="61"/>
      <c r="GM27" s="61"/>
      <c r="GN27" s="61"/>
      <c r="GO27" s="83"/>
      <c r="GP27" s="61"/>
      <c r="GQ27" s="61"/>
      <c r="GR27" s="61"/>
      <c r="GS27" s="61"/>
      <c r="GT27" s="61"/>
      <c r="GU27" s="61"/>
      <c r="GV27" s="61"/>
      <c r="GW27" s="61"/>
      <c r="GX27" s="61"/>
      <c r="GY27" s="61"/>
      <c r="GZ27" s="61"/>
      <c r="HA27" s="61"/>
      <c r="HB27" s="61"/>
      <c r="HC27" s="61"/>
      <c r="HD27" s="61"/>
      <c r="HE27" s="61"/>
      <c r="HF27" s="61"/>
      <c r="HG27" s="119"/>
      <c r="HH27" s="61"/>
      <c r="HI27" s="61"/>
      <c r="HJ27" s="61"/>
      <c r="HK27" s="61"/>
      <c r="HL27" s="61"/>
      <c r="HM27" s="61"/>
      <c r="HN27" s="61"/>
      <c r="HO27" s="61"/>
      <c r="HP27" s="61"/>
      <c r="HQ27" s="61"/>
      <c r="HR27" s="61"/>
      <c r="HS27" s="61"/>
      <c r="HT27" s="61"/>
      <c r="HU27" s="61"/>
      <c r="HV27" s="61"/>
      <c r="HW27" s="80"/>
      <c r="HX27" s="80"/>
      <c r="HY27" s="82"/>
      <c r="HZ27" s="61"/>
      <c r="IA27" s="61"/>
    </row>
    <row r="28" spans="1:235" s="26" customFormat="1">
      <c r="A28" s="61"/>
      <c r="B28" s="69"/>
      <c r="C28" s="61"/>
      <c r="D28" s="78"/>
      <c r="E28" s="61"/>
      <c r="F28" s="61"/>
      <c r="G28" s="107"/>
      <c r="H28" s="107"/>
      <c r="I28" s="61"/>
      <c r="J28" s="61"/>
      <c r="K28" s="61"/>
      <c r="L28" s="130"/>
      <c r="M28" s="61"/>
      <c r="N28" s="69"/>
      <c r="O28" s="112"/>
      <c r="P28" s="28"/>
      <c r="Q28" s="28"/>
      <c r="R28" s="61"/>
      <c r="S28" s="107"/>
      <c r="T28" s="107"/>
      <c r="U28" s="61"/>
      <c r="V28" s="61"/>
      <c r="W28" s="61"/>
      <c r="X28" s="61"/>
      <c r="Y28" s="61"/>
      <c r="Z28" s="61"/>
      <c r="AA28" s="61"/>
      <c r="AB28" s="61"/>
      <c r="AC28" s="61"/>
      <c r="AD28" s="61"/>
      <c r="AE28" s="61"/>
      <c r="AF28" s="79"/>
      <c r="AG28" s="61"/>
      <c r="AH28" s="61"/>
      <c r="AI28" s="61"/>
      <c r="AJ28" s="61"/>
      <c r="AK28" s="61"/>
      <c r="AL28" s="61"/>
      <c r="AM28" s="61"/>
      <c r="AN28" s="61"/>
      <c r="AO28" s="61"/>
      <c r="AP28" s="61"/>
      <c r="AQ28" s="61"/>
      <c r="AR28" s="61"/>
      <c r="AS28" s="61"/>
      <c r="AT28" s="61"/>
      <c r="AU28" s="61"/>
      <c r="AV28" s="61"/>
      <c r="AW28" s="61"/>
      <c r="AX28" s="118"/>
      <c r="AY28" s="61"/>
      <c r="AZ28" s="61"/>
      <c r="BA28" s="61"/>
      <c r="BB28" s="61"/>
      <c r="BC28" s="61"/>
      <c r="BD28" s="61"/>
      <c r="BE28" s="61"/>
      <c r="BF28" s="61"/>
      <c r="BG28" s="61"/>
      <c r="BH28" s="61"/>
      <c r="BI28" s="61"/>
      <c r="BJ28" s="61"/>
      <c r="BK28" s="61"/>
      <c r="BL28" s="61"/>
      <c r="BM28" s="61"/>
      <c r="BN28" s="80"/>
      <c r="BO28" s="80"/>
      <c r="BP28" s="82"/>
      <c r="BQ28" s="69"/>
      <c r="BR28" s="61"/>
      <c r="BS28" s="61"/>
      <c r="BT28" s="61"/>
      <c r="BU28" s="61"/>
      <c r="BV28" s="61"/>
      <c r="BW28" s="61"/>
      <c r="BX28" s="61"/>
      <c r="BY28" s="61"/>
      <c r="BZ28" s="61"/>
      <c r="CA28" s="61"/>
      <c r="CB28" s="61"/>
      <c r="CC28" s="61"/>
      <c r="CD28" s="61"/>
      <c r="CE28" s="61"/>
      <c r="CF28" s="61"/>
      <c r="CG28" s="61"/>
      <c r="CH28" s="61"/>
      <c r="CI28" s="83"/>
      <c r="CJ28" s="61"/>
      <c r="CK28" s="61"/>
      <c r="CL28" s="61"/>
      <c r="CM28" s="61"/>
      <c r="CN28" s="61"/>
      <c r="CO28" s="61"/>
      <c r="CP28" s="61"/>
      <c r="CQ28" s="61"/>
      <c r="CR28" s="61"/>
      <c r="CS28" s="61"/>
      <c r="CT28" s="61"/>
      <c r="CU28" s="61"/>
      <c r="CV28" s="61"/>
      <c r="CW28" s="61"/>
      <c r="CX28" s="61"/>
      <c r="CY28" s="61"/>
      <c r="CZ28" s="61"/>
      <c r="DA28" s="84"/>
      <c r="DB28" s="61"/>
      <c r="DC28" s="61"/>
      <c r="DD28" s="61"/>
      <c r="DE28" s="61"/>
      <c r="DF28" s="61"/>
      <c r="DG28" s="61"/>
      <c r="DH28" s="61"/>
      <c r="DI28" s="61"/>
      <c r="DJ28" s="61"/>
      <c r="DK28" s="61"/>
      <c r="DL28" s="61"/>
      <c r="DM28" s="61"/>
      <c r="DN28" s="61"/>
      <c r="DO28" s="61"/>
      <c r="DP28" s="61"/>
      <c r="DQ28" s="80"/>
      <c r="DR28" s="80"/>
      <c r="DS28" s="90"/>
      <c r="DT28" s="69"/>
      <c r="DU28" s="61"/>
      <c r="DV28" s="61"/>
      <c r="DW28" s="61"/>
      <c r="DX28" s="61"/>
      <c r="DY28" s="61"/>
      <c r="DZ28" s="61"/>
      <c r="EA28" s="61"/>
      <c r="EB28" s="61"/>
      <c r="EC28" s="61"/>
      <c r="ED28" s="61"/>
      <c r="EE28" s="61"/>
      <c r="EF28" s="61"/>
      <c r="EG28" s="61"/>
      <c r="EH28" s="61"/>
      <c r="EI28" s="61"/>
      <c r="EJ28" s="61"/>
      <c r="EK28" s="61"/>
      <c r="EL28" s="83"/>
      <c r="EM28" s="61"/>
      <c r="EN28" s="61"/>
      <c r="EO28" s="61"/>
      <c r="EP28" s="61"/>
      <c r="EQ28" s="61"/>
      <c r="ER28" s="61"/>
      <c r="ES28" s="61"/>
      <c r="ET28" s="61"/>
      <c r="EU28" s="61"/>
      <c r="EV28" s="61"/>
      <c r="EW28" s="61"/>
      <c r="EX28" s="61"/>
      <c r="EY28" s="61"/>
      <c r="EZ28" s="61"/>
      <c r="FA28" s="61"/>
      <c r="FB28" s="61"/>
      <c r="FC28" s="61"/>
      <c r="FD28" s="84"/>
      <c r="FE28" s="61"/>
      <c r="FF28" s="61"/>
      <c r="FG28" s="61"/>
      <c r="FH28" s="61"/>
      <c r="FI28" s="61"/>
      <c r="FJ28" s="61"/>
      <c r="FK28" s="61"/>
      <c r="FL28" s="61"/>
      <c r="FM28" s="61"/>
      <c r="FN28" s="61"/>
      <c r="FO28" s="61"/>
      <c r="FP28" s="61"/>
      <c r="FQ28" s="61"/>
      <c r="FR28" s="61"/>
      <c r="FS28" s="61"/>
      <c r="FT28" s="80"/>
      <c r="FU28" s="80"/>
      <c r="FV28" s="90"/>
      <c r="FW28" s="69"/>
      <c r="FX28" s="61"/>
      <c r="FY28" s="61"/>
      <c r="FZ28" s="61"/>
      <c r="GA28" s="61"/>
      <c r="GB28" s="61"/>
      <c r="GC28" s="61"/>
      <c r="GD28" s="61"/>
      <c r="GE28" s="61"/>
      <c r="GF28" s="61"/>
      <c r="GG28" s="61"/>
      <c r="GH28" s="61"/>
      <c r="GI28" s="61"/>
      <c r="GJ28" s="61"/>
      <c r="GK28" s="61"/>
      <c r="GL28" s="61"/>
      <c r="GM28" s="61"/>
      <c r="GN28" s="61"/>
      <c r="GO28" s="83"/>
      <c r="GP28" s="61"/>
      <c r="GQ28" s="61"/>
      <c r="GR28" s="61"/>
      <c r="GS28" s="61"/>
      <c r="GT28" s="61"/>
      <c r="GU28" s="61"/>
      <c r="GV28" s="61"/>
      <c r="GW28" s="61"/>
      <c r="GX28" s="61"/>
      <c r="GY28" s="61"/>
      <c r="GZ28" s="61"/>
      <c r="HA28" s="61"/>
      <c r="HB28" s="61"/>
      <c r="HC28" s="61"/>
      <c r="HD28" s="61"/>
      <c r="HE28" s="61"/>
      <c r="HF28" s="61"/>
      <c r="HG28" s="119"/>
      <c r="HH28" s="61"/>
      <c r="HI28" s="61"/>
      <c r="HJ28" s="61"/>
      <c r="HK28" s="61"/>
      <c r="HL28" s="61"/>
      <c r="HM28" s="61"/>
      <c r="HN28" s="61"/>
      <c r="HO28" s="61"/>
      <c r="HP28" s="61"/>
      <c r="HQ28" s="61"/>
      <c r="HR28" s="61"/>
      <c r="HS28" s="61"/>
      <c r="HT28" s="61"/>
      <c r="HU28" s="61"/>
      <c r="HV28" s="61"/>
      <c r="HW28" s="80"/>
      <c r="HX28" s="80"/>
      <c r="HY28" s="82"/>
      <c r="HZ28" s="61"/>
      <c r="IA28" s="61"/>
    </row>
    <row r="29" spans="1:235" s="26" customFormat="1">
      <c r="A29" s="61"/>
      <c r="B29" s="69"/>
      <c r="C29" s="61"/>
      <c r="D29" s="78"/>
      <c r="E29" s="61"/>
      <c r="F29" s="61"/>
      <c r="G29" s="61"/>
      <c r="H29" s="61"/>
      <c r="I29" s="61"/>
      <c r="J29" s="61"/>
      <c r="K29" s="61"/>
      <c r="L29" s="130"/>
      <c r="M29" s="61"/>
      <c r="N29" s="69"/>
      <c r="O29" s="112"/>
      <c r="P29" s="28"/>
      <c r="Q29" s="28"/>
      <c r="R29" s="61"/>
      <c r="S29" s="107"/>
      <c r="T29" s="107"/>
      <c r="U29" s="61"/>
      <c r="V29" s="61"/>
      <c r="W29" s="61"/>
      <c r="X29" s="61"/>
      <c r="Y29" s="61"/>
      <c r="Z29" s="61"/>
      <c r="AA29" s="61"/>
      <c r="AB29" s="61"/>
      <c r="AC29" s="61"/>
      <c r="AD29" s="61"/>
      <c r="AE29" s="61"/>
      <c r="AF29" s="79"/>
      <c r="AG29" s="61"/>
      <c r="AH29" s="61"/>
      <c r="AI29" s="61"/>
      <c r="AJ29" s="61"/>
      <c r="AK29" s="61"/>
      <c r="AL29" s="61"/>
      <c r="AM29" s="61"/>
      <c r="AN29" s="61"/>
      <c r="AO29" s="61"/>
      <c r="AP29" s="61"/>
      <c r="AQ29" s="61"/>
      <c r="AR29" s="61"/>
      <c r="AS29" s="61"/>
      <c r="AT29" s="61"/>
      <c r="AU29" s="61"/>
      <c r="AV29" s="61"/>
      <c r="AW29" s="61"/>
      <c r="AX29" s="118"/>
      <c r="AY29" s="61"/>
      <c r="AZ29" s="61"/>
      <c r="BA29" s="61"/>
      <c r="BB29" s="61"/>
      <c r="BC29" s="61"/>
      <c r="BD29" s="61"/>
      <c r="BE29" s="61"/>
      <c r="BF29" s="61"/>
      <c r="BG29" s="61"/>
      <c r="BH29" s="61"/>
      <c r="BI29" s="61"/>
      <c r="BJ29" s="61"/>
      <c r="BK29" s="61"/>
      <c r="BL29" s="61"/>
      <c r="BM29" s="61"/>
      <c r="BN29" s="80"/>
      <c r="BO29" s="80"/>
      <c r="BP29" s="90"/>
      <c r="BQ29" s="69"/>
      <c r="BR29" s="61"/>
      <c r="BS29" s="61"/>
      <c r="BT29" s="61"/>
      <c r="BU29" s="61"/>
      <c r="BV29" s="61"/>
      <c r="BW29" s="61"/>
      <c r="BX29" s="61"/>
      <c r="BY29" s="61"/>
      <c r="BZ29" s="61"/>
      <c r="CA29" s="61"/>
      <c r="CB29" s="61"/>
      <c r="CC29" s="61"/>
      <c r="CD29" s="61"/>
      <c r="CE29" s="61"/>
      <c r="CF29" s="61"/>
      <c r="CG29" s="61"/>
      <c r="CH29" s="61"/>
      <c r="CI29" s="83"/>
      <c r="CJ29" s="61"/>
      <c r="CK29" s="61"/>
      <c r="CL29" s="61"/>
      <c r="CM29" s="61"/>
      <c r="CN29" s="61"/>
      <c r="CO29" s="61"/>
      <c r="CP29" s="61"/>
      <c r="CQ29" s="61"/>
      <c r="CR29" s="61"/>
      <c r="CS29" s="61"/>
      <c r="CT29" s="61"/>
      <c r="CU29" s="61"/>
      <c r="CV29" s="61"/>
      <c r="CW29" s="61"/>
      <c r="CX29" s="61"/>
      <c r="CY29" s="61"/>
      <c r="CZ29" s="61"/>
      <c r="DA29" s="84"/>
      <c r="DB29" s="61"/>
      <c r="DC29" s="61"/>
      <c r="DD29" s="61"/>
      <c r="DE29" s="61"/>
      <c r="DF29" s="61"/>
      <c r="DG29" s="61"/>
      <c r="DH29" s="61"/>
      <c r="DI29" s="61"/>
      <c r="DJ29" s="61"/>
      <c r="DK29" s="61"/>
      <c r="DL29" s="61"/>
      <c r="DM29" s="61"/>
      <c r="DN29" s="61"/>
      <c r="DO29" s="61"/>
      <c r="DP29" s="61"/>
      <c r="DQ29" s="80"/>
      <c r="DR29" s="80"/>
      <c r="DS29" s="90"/>
      <c r="DT29" s="69"/>
      <c r="DU29" s="61"/>
      <c r="DV29" s="61"/>
      <c r="DW29" s="61"/>
      <c r="DX29" s="61"/>
      <c r="DY29" s="61"/>
      <c r="DZ29" s="61"/>
      <c r="EA29" s="61"/>
      <c r="EB29" s="61"/>
      <c r="EC29" s="61"/>
      <c r="ED29" s="61"/>
      <c r="EE29" s="61"/>
      <c r="EF29" s="61"/>
      <c r="EG29" s="61"/>
      <c r="EH29" s="61"/>
      <c r="EI29" s="61"/>
      <c r="EJ29" s="61"/>
      <c r="EK29" s="61"/>
      <c r="EL29" s="83"/>
      <c r="EM29" s="61"/>
      <c r="EN29" s="61"/>
      <c r="EO29" s="61"/>
      <c r="EP29" s="61"/>
      <c r="EQ29" s="61"/>
      <c r="ER29" s="61"/>
      <c r="ES29" s="61"/>
      <c r="ET29" s="61"/>
      <c r="EU29" s="61"/>
      <c r="EV29" s="61"/>
      <c r="EW29" s="61"/>
      <c r="EX29" s="61"/>
      <c r="EY29" s="61"/>
      <c r="EZ29" s="61"/>
      <c r="FA29" s="61"/>
      <c r="FB29" s="61"/>
      <c r="FC29" s="61"/>
      <c r="FD29" s="84"/>
      <c r="FE29" s="61"/>
      <c r="FF29" s="61"/>
      <c r="FG29" s="61"/>
      <c r="FH29" s="61"/>
      <c r="FI29" s="61"/>
      <c r="FJ29" s="61"/>
      <c r="FK29" s="61"/>
      <c r="FL29" s="61"/>
      <c r="FM29" s="61"/>
      <c r="FN29" s="61"/>
      <c r="FO29" s="61"/>
      <c r="FP29" s="61"/>
      <c r="FQ29" s="61"/>
      <c r="FR29" s="61"/>
      <c r="FS29" s="61"/>
      <c r="FT29" s="80"/>
      <c r="FU29" s="80"/>
      <c r="FV29" s="90"/>
      <c r="FW29" s="69"/>
      <c r="FX29" s="61"/>
      <c r="FY29" s="61"/>
      <c r="FZ29" s="61"/>
      <c r="GA29" s="61"/>
      <c r="GB29" s="61"/>
      <c r="GC29" s="61"/>
      <c r="GD29" s="61"/>
      <c r="GE29" s="61"/>
      <c r="GF29" s="61"/>
      <c r="GG29" s="61"/>
      <c r="GH29" s="61"/>
      <c r="GI29" s="61"/>
      <c r="GJ29" s="61"/>
      <c r="GK29" s="61"/>
      <c r="GL29" s="61"/>
      <c r="GM29" s="61"/>
      <c r="GN29" s="61"/>
      <c r="GO29" s="83"/>
      <c r="GP29" s="61"/>
      <c r="GQ29" s="61"/>
      <c r="GR29" s="61"/>
      <c r="GS29" s="61"/>
      <c r="GT29" s="61"/>
      <c r="GU29" s="61"/>
      <c r="GV29" s="61"/>
      <c r="GW29" s="61"/>
      <c r="GX29" s="61"/>
      <c r="GY29" s="61"/>
      <c r="GZ29" s="61"/>
      <c r="HA29" s="61"/>
      <c r="HB29" s="61"/>
      <c r="HC29" s="61"/>
      <c r="HD29" s="61"/>
      <c r="HE29" s="61"/>
      <c r="HF29" s="61"/>
      <c r="HG29" s="119"/>
      <c r="HH29" s="61"/>
      <c r="HI29" s="61"/>
      <c r="HJ29" s="61"/>
      <c r="HK29" s="61"/>
      <c r="HL29" s="61"/>
      <c r="HM29" s="61"/>
      <c r="HN29" s="61"/>
      <c r="HO29" s="61"/>
      <c r="HP29" s="61"/>
      <c r="HQ29" s="61"/>
      <c r="HR29" s="61"/>
      <c r="HS29" s="61"/>
      <c r="HT29" s="61"/>
      <c r="HU29" s="61"/>
      <c r="HV29" s="61"/>
      <c r="HW29" s="80"/>
      <c r="HX29" s="80"/>
      <c r="HY29" s="82"/>
      <c r="HZ29" s="61"/>
      <c r="IA29" s="61"/>
    </row>
    <row r="30" spans="1:235" s="26" customFormat="1">
      <c r="A30" s="61"/>
      <c r="B30" s="69"/>
      <c r="C30" s="61"/>
      <c r="D30" s="78"/>
      <c r="E30" s="61"/>
      <c r="F30" s="61"/>
      <c r="G30" s="61"/>
      <c r="H30" s="61"/>
      <c r="I30" s="61"/>
      <c r="J30" s="61"/>
      <c r="K30" s="61"/>
      <c r="L30" s="130"/>
      <c r="M30" s="61"/>
      <c r="N30" s="69"/>
      <c r="O30" s="112"/>
      <c r="P30" s="28"/>
      <c r="Q30" s="28"/>
      <c r="R30" s="61"/>
      <c r="S30" s="107"/>
      <c r="T30" s="107"/>
      <c r="U30" s="61"/>
      <c r="V30" s="61"/>
      <c r="W30" s="61"/>
      <c r="X30" s="61"/>
      <c r="Y30" s="61"/>
      <c r="Z30" s="61"/>
      <c r="AA30" s="61"/>
      <c r="AB30" s="61"/>
      <c r="AC30" s="61"/>
      <c r="AD30" s="61"/>
      <c r="AE30" s="61"/>
      <c r="AF30" s="79"/>
      <c r="AG30" s="61"/>
      <c r="AH30" s="61"/>
      <c r="AI30" s="61"/>
      <c r="AJ30" s="61"/>
      <c r="AK30" s="61"/>
      <c r="AL30" s="61"/>
      <c r="AM30" s="61"/>
      <c r="AN30" s="61"/>
      <c r="AO30" s="61"/>
      <c r="AP30" s="61"/>
      <c r="AQ30" s="61"/>
      <c r="AR30" s="61"/>
      <c r="AS30" s="61"/>
      <c r="AT30" s="61"/>
      <c r="AU30" s="61"/>
      <c r="AV30" s="61"/>
      <c r="AW30" s="61"/>
      <c r="AX30" s="118"/>
      <c r="AY30" s="61"/>
      <c r="AZ30" s="61"/>
      <c r="BA30" s="61"/>
      <c r="BB30" s="61"/>
      <c r="BC30" s="61"/>
      <c r="BD30" s="61"/>
      <c r="BE30" s="61"/>
      <c r="BF30" s="61"/>
      <c r="BG30" s="61"/>
      <c r="BH30" s="61"/>
      <c r="BI30" s="61"/>
      <c r="BJ30" s="61"/>
      <c r="BK30" s="61"/>
      <c r="BL30" s="61"/>
      <c r="BM30" s="61"/>
      <c r="BN30" s="80"/>
      <c r="BO30" s="80"/>
      <c r="BP30" s="82"/>
      <c r="BQ30" s="69"/>
      <c r="BR30" s="61"/>
      <c r="BS30" s="61"/>
      <c r="BT30" s="61"/>
      <c r="BU30" s="61"/>
      <c r="BV30" s="61"/>
      <c r="BW30" s="61"/>
      <c r="BX30" s="61"/>
      <c r="BY30" s="61"/>
      <c r="BZ30" s="61"/>
      <c r="CA30" s="61"/>
      <c r="CB30" s="61"/>
      <c r="CC30" s="61"/>
      <c r="CD30" s="61"/>
      <c r="CE30" s="61"/>
      <c r="CF30" s="61"/>
      <c r="CG30" s="61"/>
      <c r="CH30" s="61"/>
      <c r="CI30" s="83"/>
      <c r="CJ30" s="61"/>
      <c r="CK30" s="61"/>
      <c r="CL30" s="61"/>
      <c r="CM30" s="61"/>
      <c r="CN30" s="61"/>
      <c r="CO30" s="61"/>
      <c r="CP30" s="61"/>
      <c r="CQ30" s="61"/>
      <c r="CR30" s="61"/>
      <c r="CS30" s="61"/>
      <c r="CT30" s="61"/>
      <c r="CU30" s="61"/>
      <c r="CV30" s="61"/>
      <c r="CW30" s="61"/>
      <c r="CX30" s="61"/>
      <c r="CY30" s="61"/>
      <c r="CZ30" s="61"/>
      <c r="DA30" s="84"/>
      <c r="DB30" s="61"/>
      <c r="DC30" s="61"/>
      <c r="DD30" s="61"/>
      <c r="DE30" s="61"/>
      <c r="DF30" s="61"/>
      <c r="DG30" s="61"/>
      <c r="DH30" s="61"/>
      <c r="DI30" s="61"/>
      <c r="DJ30" s="61"/>
      <c r="DK30" s="61"/>
      <c r="DL30" s="61"/>
      <c r="DM30" s="61"/>
      <c r="DN30" s="61"/>
      <c r="DO30" s="61"/>
      <c r="DP30" s="61"/>
      <c r="DQ30" s="80"/>
      <c r="DR30" s="80"/>
      <c r="DS30" s="90"/>
      <c r="DT30" s="69"/>
      <c r="DU30" s="61"/>
      <c r="DV30" s="61"/>
      <c r="DW30" s="61"/>
      <c r="DX30" s="61"/>
      <c r="DY30" s="61"/>
      <c r="DZ30" s="61"/>
      <c r="EA30" s="61"/>
      <c r="EB30" s="61"/>
      <c r="EC30" s="61"/>
      <c r="ED30" s="61"/>
      <c r="EE30" s="61"/>
      <c r="EF30" s="61"/>
      <c r="EG30" s="61"/>
      <c r="EH30" s="61"/>
      <c r="EI30" s="61"/>
      <c r="EJ30" s="61"/>
      <c r="EK30" s="61"/>
      <c r="EL30" s="83"/>
      <c r="EM30" s="61"/>
      <c r="EN30" s="61"/>
      <c r="EO30" s="61"/>
      <c r="EP30" s="61"/>
      <c r="EQ30" s="61"/>
      <c r="ER30" s="61"/>
      <c r="ES30" s="61"/>
      <c r="ET30" s="61"/>
      <c r="EU30" s="61"/>
      <c r="EV30" s="61"/>
      <c r="EW30" s="61"/>
      <c r="EX30" s="61"/>
      <c r="EY30" s="61"/>
      <c r="EZ30" s="61"/>
      <c r="FA30" s="61"/>
      <c r="FB30" s="61"/>
      <c r="FC30" s="61"/>
      <c r="FD30" s="84"/>
      <c r="FE30" s="61"/>
      <c r="FF30" s="61"/>
      <c r="FG30" s="61"/>
      <c r="FH30" s="61"/>
      <c r="FI30" s="61"/>
      <c r="FJ30" s="61"/>
      <c r="FK30" s="61"/>
      <c r="FL30" s="61"/>
      <c r="FM30" s="61"/>
      <c r="FN30" s="61"/>
      <c r="FO30" s="61"/>
      <c r="FP30" s="61"/>
      <c r="FQ30" s="61"/>
      <c r="FR30" s="61"/>
      <c r="FS30" s="61"/>
      <c r="FT30" s="80"/>
      <c r="FU30" s="80"/>
      <c r="FV30" s="90"/>
      <c r="FW30" s="69"/>
      <c r="FX30" s="61"/>
      <c r="FY30" s="61"/>
      <c r="FZ30" s="61"/>
      <c r="GA30" s="61"/>
      <c r="GB30" s="61"/>
      <c r="GC30" s="61"/>
      <c r="GD30" s="61"/>
      <c r="GE30" s="61"/>
      <c r="GF30" s="61"/>
      <c r="GG30" s="61"/>
      <c r="GH30" s="61"/>
      <c r="GI30" s="61"/>
      <c r="GJ30" s="61"/>
      <c r="GK30" s="61"/>
      <c r="GL30" s="61"/>
      <c r="GM30" s="61"/>
      <c r="GN30" s="61"/>
      <c r="GO30" s="83"/>
      <c r="GP30" s="61"/>
      <c r="GQ30" s="61"/>
      <c r="GR30" s="61"/>
      <c r="GS30" s="61"/>
      <c r="GT30" s="61"/>
      <c r="GU30" s="61"/>
      <c r="GV30" s="61"/>
      <c r="GW30" s="61"/>
      <c r="GX30" s="61"/>
      <c r="GY30" s="61"/>
      <c r="GZ30" s="61"/>
      <c r="HA30" s="61"/>
      <c r="HB30" s="61"/>
      <c r="HC30" s="61"/>
      <c r="HD30" s="61"/>
      <c r="HE30" s="61"/>
      <c r="HF30" s="61"/>
      <c r="HG30" s="119"/>
      <c r="HH30" s="61"/>
      <c r="HI30" s="61"/>
      <c r="HJ30" s="61"/>
      <c r="HK30" s="61"/>
      <c r="HL30" s="61"/>
      <c r="HM30" s="61"/>
      <c r="HN30" s="61"/>
      <c r="HO30" s="61"/>
      <c r="HP30" s="61"/>
      <c r="HQ30" s="61"/>
      <c r="HR30" s="61"/>
      <c r="HS30" s="61"/>
      <c r="HT30" s="61"/>
      <c r="HU30" s="61"/>
      <c r="HV30" s="61"/>
      <c r="HW30" s="80"/>
      <c r="HX30" s="80"/>
      <c r="HY30" s="82"/>
      <c r="HZ30" s="61"/>
      <c r="IA30" s="61"/>
    </row>
    <row r="31" spans="1:235" s="26" customFormat="1">
      <c r="A31" s="61"/>
      <c r="B31" s="69"/>
      <c r="C31" s="61"/>
      <c r="D31" s="78"/>
      <c r="E31" s="61"/>
      <c r="F31" s="61"/>
      <c r="G31" s="61"/>
      <c r="H31" s="61"/>
      <c r="I31" s="61"/>
      <c r="J31" s="61"/>
      <c r="K31" s="61"/>
      <c r="L31" s="130"/>
      <c r="M31" s="61"/>
      <c r="N31" s="69"/>
      <c r="O31" s="112"/>
      <c r="P31" s="54"/>
      <c r="Q31" s="61"/>
      <c r="R31" s="61"/>
      <c r="S31" s="107"/>
      <c r="T31" s="107"/>
      <c r="U31" s="61"/>
      <c r="V31" s="61"/>
      <c r="W31" s="61"/>
      <c r="X31" s="61"/>
      <c r="Y31" s="61"/>
      <c r="Z31" s="61"/>
      <c r="AA31" s="61"/>
      <c r="AB31" s="61"/>
      <c r="AC31" s="61"/>
      <c r="AD31" s="61"/>
      <c r="AE31" s="61"/>
      <c r="AF31" s="79"/>
      <c r="AG31" s="61"/>
      <c r="AH31" s="61"/>
      <c r="AI31" s="61"/>
      <c r="AJ31" s="61"/>
      <c r="AK31" s="61"/>
      <c r="AL31" s="61"/>
      <c r="AM31" s="61"/>
      <c r="AN31" s="61"/>
      <c r="AO31" s="61"/>
      <c r="AP31" s="61"/>
      <c r="AQ31" s="61"/>
      <c r="AR31" s="61"/>
      <c r="AS31" s="61"/>
      <c r="AT31" s="61"/>
      <c r="AU31" s="61"/>
      <c r="AV31" s="61"/>
      <c r="AW31" s="61"/>
      <c r="AX31" s="118"/>
      <c r="AY31" s="61"/>
      <c r="AZ31" s="61"/>
      <c r="BA31" s="61"/>
      <c r="BB31" s="61"/>
      <c r="BC31" s="61"/>
      <c r="BD31" s="61"/>
      <c r="BE31" s="61"/>
      <c r="BF31" s="61"/>
      <c r="BG31" s="61"/>
      <c r="BH31" s="61"/>
      <c r="BI31" s="61"/>
      <c r="BJ31" s="61"/>
      <c r="BK31" s="61"/>
      <c r="BL31" s="61"/>
      <c r="BM31" s="61"/>
      <c r="BN31" s="80"/>
      <c r="BO31" s="80"/>
      <c r="BP31" s="90"/>
      <c r="BQ31" s="69"/>
      <c r="BR31" s="61"/>
      <c r="BS31" s="61"/>
      <c r="BT31" s="61"/>
      <c r="BU31" s="61"/>
      <c r="BV31" s="61"/>
      <c r="BW31" s="61"/>
      <c r="BX31" s="61"/>
      <c r="BY31" s="61"/>
      <c r="BZ31" s="61"/>
      <c r="CA31" s="61"/>
      <c r="CB31" s="61"/>
      <c r="CC31" s="61"/>
      <c r="CD31" s="61"/>
      <c r="CE31" s="61"/>
      <c r="CF31" s="61"/>
      <c r="CG31" s="61"/>
      <c r="CH31" s="61"/>
      <c r="CI31" s="83"/>
      <c r="CJ31" s="61"/>
      <c r="CK31" s="61"/>
      <c r="CL31" s="61"/>
      <c r="CM31" s="61"/>
      <c r="CN31" s="61"/>
      <c r="CO31" s="61"/>
      <c r="CP31" s="61"/>
      <c r="CQ31" s="61"/>
      <c r="CR31" s="61"/>
      <c r="CS31" s="61"/>
      <c r="CT31" s="61"/>
      <c r="CU31" s="61"/>
      <c r="CV31" s="61"/>
      <c r="CW31" s="61"/>
      <c r="CX31" s="61"/>
      <c r="CY31" s="61"/>
      <c r="CZ31" s="61"/>
      <c r="DA31" s="84"/>
      <c r="DB31" s="61"/>
      <c r="DC31" s="61"/>
      <c r="DD31" s="61"/>
      <c r="DE31" s="61"/>
      <c r="DF31" s="61"/>
      <c r="DG31" s="61"/>
      <c r="DH31" s="61"/>
      <c r="DI31" s="61"/>
      <c r="DJ31" s="61"/>
      <c r="DK31" s="61"/>
      <c r="DL31" s="61"/>
      <c r="DM31" s="61"/>
      <c r="DN31" s="61"/>
      <c r="DO31" s="61"/>
      <c r="DP31" s="61"/>
      <c r="DQ31" s="80"/>
      <c r="DR31" s="80"/>
      <c r="DS31" s="90"/>
      <c r="DT31" s="69"/>
      <c r="DU31" s="61"/>
      <c r="DV31" s="61"/>
      <c r="DW31" s="61"/>
      <c r="DX31" s="61"/>
      <c r="DY31" s="61"/>
      <c r="DZ31" s="61"/>
      <c r="EA31" s="61"/>
      <c r="EB31" s="61"/>
      <c r="EC31" s="61"/>
      <c r="ED31" s="61"/>
      <c r="EE31" s="61"/>
      <c r="EF31" s="61"/>
      <c r="EG31" s="61"/>
      <c r="EH31" s="61"/>
      <c r="EI31" s="61"/>
      <c r="EJ31" s="61"/>
      <c r="EK31" s="61"/>
      <c r="EL31" s="83"/>
      <c r="EM31" s="61"/>
      <c r="EN31" s="61"/>
      <c r="EO31" s="61"/>
      <c r="EP31" s="61"/>
      <c r="EQ31" s="61"/>
      <c r="ER31" s="61"/>
      <c r="ES31" s="61"/>
      <c r="ET31" s="61"/>
      <c r="EU31" s="61"/>
      <c r="EV31" s="61"/>
      <c r="EW31" s="61"/>
      <c r="EX31" s="61"/>
      <c r="EY31" s="61"/>
      <c r="EZ31" s="61"/>
      <c r="FA31" s="61"/>
      <c r="FB31" s="61"/>
      <c r="FC31" s="61"/>
      <c r="FD31" s="84"/>
      <c r="FE31" s="61"/>
      <c r="FF31" s="61"/>
      <c r="FG31" s="61"/>
      <c r="FH31" s="61"/>
      <c r="FI31" s="61"/>
      <c r="FJ31" s="61"/>
      <c r="FK31" s="61"/>
      <c r="FL31" s="61"/>
      <c r="FM31" s="61"/>
      <c r="FN31" s="61"/>
      <c r="FO31" s="61"/>
      <c r="FP31" s="61"/>
      <c r="FQ31" s="61"/>
      <c r="FR31" s="61"/>
      <c r="FS31" s="61"/>
      <c r="FT31" s="80"/>
      <c r="FU31" s="80"/>
      <c r="FV31" s="90"/>
      <c r="FW31" s="69"/>
      <c r="FX31" s="61"/>
      <c r="FY31" s="61"/>
      <c r="FZ31" s="61"/>
      <c r="GA31" s="61"/>
      <c r="GB31" s="61"/>
      <c r="GC31" s="61"/>
      <c r="GD31" s="61"/>
      <c r="GE31" s="61"/>
      <c r="GF31" s="61"/>
      <c r="GG31" s="61"/>
      <c r="GH31" s="61"/>
      <c r="GI31" s="61"/>
      <c r="GJ31" s="61"/>
      <c r="GK31" s="61"/>
      <c r="GL31" s="61"/>
      <c r="GM31" s="61"/>
      <c r="GN31" s="61"/>
      <c r="GO31" s="83"/>
      <c r="GP31" s="61"/>
      <c r="GQ31" s="61"/>
      <c r="GR31" s="61"/>
      <c r="GS31" s="61"/>
      <c r="GT31" s="61"/>
      <c r="GU31" s="61"/>
      <c r="GV31" s="61"/>
      <c r="GW31" s="61"/>
      <c r="GX31" s="61"/>
      <c r="GY31" s="61"/>
      <c r="GZ31" s="61"/>
      <c r="HA31" s="61"/>
      <c r="HB31" s="61"/>
      <c r="HC31" s="61"/>
      <c r="HD31" s="61"/>
      <c r="HE31" s="61"/>
      <c r="HF31" s="61"/>
      <c r="HG31" s="119"/>
      <c r="HH31" s="61"/>
      <c r="HI31" s="61"/>
      <c r="HJ31" s="61"/>
      <c r="HK31" s="61"/>
      <c r="HL31" s="61"/>
      <c r="HM31" s="61"/>
      <c r="HN31" s="61"/>
      <c r="HO31" s="61"/>
      <c r="HP31" s="61"/>
      <c r="HQ31" s="61"/>
      <c r="HR31" s="61"/>
      <c r="HS31" s="61"/>
      <c r="HT31" s="61"/>
      <c r="HU31" s="61"/>
      <c r="HV31" s="61"/>
      <c r="HW31" s="80"/>
      <c r="HX31" s="80"/>
      <c r="HY31" s="82"/>
      <c r="HZ31" s="61"/>
      <c r="IA31" s="61"/>
    </row>
    <row r="32" spans="1:235" s="26" customFormat="1">
      <c r="A32" s="61"/>
      <c r="B32" s="69"/>
      <c r="C32" s="61"/>
      <c r="D32" s="78"/>
      <c r="E32" s="61"/>
      <c r="F32" s="61"/>
      <c r="G32" s="61"/>
      <c r="H32" s="61"/>
      <c r="I32" s="61"/>
      <c r="J32" s="61"/>
      <c r="K32" s="61"/>
      <c r="L32" s="130"/>
      <c r="M32" s="61"/>
      <c r="N32" s="69"/>
      <c r="O32" s="112"/>
      <c r="P32" s="61"/>
      <c r="Q32" s="61"/>
      <c r="R32" s="61"/>
      <c r="S32" s="107"/>
      <c r="T32" s="107"/>
      <c r="U32" s="61"/>
      <c r="V32" s="61"/>
      <c r="W32" s="61"/>
      <c r="X32" s="61"/>
      <c r="Y32" s="61"/>
      <c r="Z32" s="61"/>
      <c r="AA32" s="61"/>
      <c r="AB32" s="61"/>
      <c r="AC32" s="61"/>
      <c r="AD32" s="61"/>
      <c r="AE32" s="61"/>
      <c r="AF32" s="79"/>
      <c r="AG32" s="61"/>
      <c r="AH32" s="61"/>
      <c r="AI32" s="61"/>
      <c r="AJ32" s="61"/>
      <c r="AK32" s="61"/>
      <c r="AL32" s="61"/>
      <c r="AM32" s="61"/>
      <c r="AN32" s="61"/>
      <c r="AO32" s="61"/>
      <c r="AP32" s="61"/>
      <c r="AQ32" s="61"/>
      <c r="AR32" s="61"/>
      <c r="AS32" s="61"/>
      <c r="AT32" s="61"/>
      <c r="AU32" s="61"/>
      <c r="AV32" s="61"/>
      <c r="AW32" s="61"/>
      <c r="AX32" s="118"/>
      <c r="AY32" s="61"/>
      <c r="AZ32" s="61"/>
      <c r="BA32" s="61"/>
      <c r="BB32" s="61"/>
      <c r="BC32" s="61"/>
      <c r="BD32" s="61"/>
      <c r="BE32" s="61"/>
      <c r="BF32" s="61"/>
      <c r="BG32" s="61"/>
      <c r="BH32" s="61"/>
      <c r="BI32" s="61"/>
      <c r="BJ32" s="61"/>
      <c r="BK32" s="61"/>
      <c r="BL32" s="61"/>
      <c r="BM32" s="61"/>
      <c r="BN32" s="80"/>
      <c r="BO32" s="80"/>
      <c r="BP32" s="90"/>
      <c r="BQ32" s="69"/>
      <c r="BR32" s="61"/>
      <c r="BS32" s="61"/>
      <c r="BT32" s="61"/>
      <c r="BU32" s="61"/>
      <c r="BV32" s="61"/>
      <c r="BW32" s="61"/>
      <c r="BX32" s="61"/>
      <c r="BY32" s="61"/>
      <c r="BZ32" s="61"/>
      <c r="CA32" s="61"/>
      <c r="CB32" s="61"/>
      <c r="CC32" s="61"/>
      <c r="CD32" s="61"/>
      <c r="CE32" s="61"/>
      <c r="CF32" s="61"/>
      <c r="CG32" s="61"/>
      <c r="CH32" s="61"/>
      <c r="CI32" s="83"/>
      <c r="CJ32" s="61"/>
      <c r="CK32" s="61"/>
      <c r="CL32" s="61"/>
      <c r="CM32" s="61"/>
      <c r="CN32" s="61"/>
      <c r="CO32" s="61"/>
      <c r="CP32" s="61"/>
      <c r="CQ32" s="61"/>
      <c r="CR32" s="61"/>
      <c r="CS32" s="61"/>
      <c r="CT32" s="61"/>
      <c r="CU32" s="61"/>
      <c r="CV32" s="61"/>
      <c r="CW32" s="61"/>
      <c r="CX32" s="61"/>
      <c r="CY32" s="61"/>
      <c r="CZ32" s="61"/>
      <c r="DA32" s="84"/>
      <c r="DB32" s="61"/>
      <c r="DC32" s="61"/>
      <c r="DD32" s="61"/>
      <c r="DE32" s="61"/>
      <c r="DF32" s="61"/>
      <c r="DG32" s="61"/>
      <c r="DH32" s="61"/>
      <c r="DI32" s="61"/>
      <c r="DJ32" s="61"/>
      <c r="DK32" s="61"/>
      <c r="DL32" s="61"/>
      <c r="DM32" s="61"/>
      <c r="DN32" s="61"/>
      <c r="DO32" s="61"/>
      <c r="DP32" s="61"/>
      <c r="DQ32" s="80"/>
      <c r="DR32" s="80"/>
      <c r="DS32" s="90"/>
      <c r="DT32" s="69"/>
      <c r="DU32" s="61"/>
      <c r="DV32" s="61"/>
      <c r="DW32" s="61"/>
      <c r="DX32" s="61"/>
      <c r="DY32" s="61"/>
      <c r="DZ32" s="61"/>
      <c r="EA32" s="61"/>
      <c r="EB32" s="61"/>
      <c r="EC32" s="61"/>
      <c r="ED32" s="61"/>
      <c r="EE32" s="61"/>
      <c r="EF32" s="61"/>
      <c r="EG32" s="61"/>
      <c r="EH32" s="61"/>
      <c r="EI32" s="61"/>
      <c r="EJ32" s="61"/>
      <c r="EK32" s="61"/>
      <c r="EL32" s="83"/>
      <c r="EM32" s="61"/>
      <c r="EN32" s="61"/>
      <c r="EO32" s="61"/>
      <c r="EP32" s="61"/>
      <c r="EQ32" s="61"/>
      <c r="ER32" s="61"/>
      <c r="ES32" s="61"/>
      <c r="ET32" s="61"/>
      <c r="EU32" s="61"/>
      <c r="EV32" s="61"/>
      <c r="EW32" s="61"/>
      <c r="EX32" s="61"/>
      <c r="EY32" s="61"/>
      <c r="EZ32" s="61"/>
      <c r="FA32" s="61"/>
      <c r="FB32" s="61"/>
      <c r="FC32" s="61"/>
      <c r="FD32" s="84"/>
      <c r="FE32" s="61"/>
      <c r="FF32" s="61"/>
      <c r="FG32" s="61"/>
      <c r="FH32" s="61"/>
      <c r="FI32" s="61"/>
      <c r="FJ32" s="61"/>
      <c r="FK32" s="61"/>
      <c r="FL32" s="61"/>
      <c r="FM32" s="61"/>
      <c r="FN32" s="61"/>
      <c r="FO32" s="61"/>
      <c r="FP32" s="61"/>
      <c r="FQ32" s="61"/>
      <c r="FR32" s="61"/>
      <c r="FS32" s="61"/>
      <c r="FT32" s="80"/>
      <c r="FU32" s="80"/>
      <c r="FV32" s="90"/>
      <c r="FW32" s="69"/>
      <c r="FX32" s="61"/>
      <c r="FY32" s="61"/>
      <c r="FZ32" s="61"/>
      <c r="GA32" s="61"/>
      <c r="GB32" s="61"/>
      <c r="GC32" s="61"/>
      <c r="GD32" s="61"/>
      <c r="GE32" s="61"/>
      <c r="GF32" s="61"/>
      <c r="GG32" s="61"/>
      <c r="GH32" s="61"/>
      <c r="GI32" s="61"/>
      <c r="GJ32" s="61"/>
      <c r="GK32" s="61"/>
      <c r="GL32" s="61"/>
      <c r="GM32" s="61"/>
      <c r="GN32" s="61"/>
      <c r="GO32" s="83"/>
      <c r="GP32" s="61"/>
      <c r="GQ32" s="61"/>
      <c r="GR32" s="61"/>
      <c r="GS32" s="61"/>
      <c r="GT32" s="61"/>
      <c r="GU32" s="61"/>
      <c r="GV32" s="61"/>
      <c r="GW32" s="61"/>
      <c r="GX32" s="61"/>
      <c r="GY32" s="61"/>
      <c r="GZ32" s="61"/>
      <c r="HA32" s="61"/>
      <c r="HB32" s="61"/>
      <c r="HC32" s="61"/>
      <c r="HD32" s="61"/>
      <c r="HE32" s="61"/>
      <c r="HF32" s="61"/>
      <c r="HG32" s="119"/>
      <c r="HH32" s="61"/>
      <c r="HI32" s="61"/>
      <c r="HJ32" s="61"/>
      <c r="HK32" s="61"/>
      <c r="HL32" s="61"/>
      <c r="HM32" s="61"/>
      <c r="HN32" s="61"/>
      <c r="HO32" s="61"/>
      <c r="HP32" s="61"/>
      <c r="HQ32" s="61"/>
      <c r="HR32" s="61"/>
      <c r="HS32" s="61"/>
      <c r="HT32" s="61"/>
      <c r="HU32" s="61"/>
      <c r="HV32" s="61"/>
      <c r="HW32" s="80"/>
      <c r="HX32" s="80"/>
      <c r="HY32" s="82"/>
      <c r="HZ32" s="61"/>
      <c r="IA32" s="61"/>
    </row>
    <row r="33" spans="1:235" s="26" customFormat="1">
      <c r="A33" s="61"/>
      <c r="B33" s="69"/>
      <c r="C33" s="107"/>
      <c r="D33" s="78"/>
      <c r="E33" s="61"/>
      <c r="F33" s="61"/>
      <c r="G33" s="61"/>
      <c r="H33" s="61"/>
      <c r="I33" s="61"/>
      <c r="J33" s="61"/>
      <c r="K33" s="107"/>
      <c r="L33" s="130"/>
      <c r="M33" s="61"/>
      <c r="N33" s="69"/>
      <c r="O33" s="112"/>
      <c r="P33" s="28"/>
      <c r="Q33" s="61"/>
      <c r="R33" s="61"/>
      <c r="S33" s="107"/>
      <c r="T33" s="107"/>
      <c r="U33" s="61"/>
      <c r="V33" s="61"/>
      <c r="W33" s="61"/>
      <c r="X33" s="61"/>
      <c r="Y33" s="61"/>
      <c r="Z33" s="61"/>
      <c r="AA33" s="61"/>
      <c r="AB33" s="61"/>
      <c r="AC33" s="61"/>
      <c r="AD33" s="61"/>
      <c r="AE33" s="61"/>
      <c r="AF33" s="79"/>
      <c r="AG33" s="61"/>
      <c r="AH33" s="61"/>
      <c r="AI33" s="61"/>
      <c r="AJ33" s="61"/>
      <c r="AK33" s="61"/>
      <c r="AL33" s="61"/>
      <c r="AM33" s="61"/>
      <c r="AN33" s="61"/>
      <c r="AO33" s="61"/>
      <c r="AP33" s="61"/>
      <c r="AQ33" s="61"/>
      <c r="AR33" s="61"/>
      <c r="AS33" s="61"/>
      <c r="AT33" s="61"/>
      <c r="AU33" s="61"/>
      <c r="AV33" s="61"/>
      <c r="AW33" s="61"/>
      <c r="AX33" s="118"/>
      <c r="AY33" s="61"/>
      <c r="AZ33" s="61"/>
      <c r="BA33" s="61"/>
      <c r="BB33" s="61"/>
      <c r="BC33" s="61"/>
      <c r="BD33" s="61"/>
      <c r="BE33" s="61"/>
      <c r="BF33" s="61"/>
      <c r="BG33" s="61"/>
      <c r="BH33" s="61"/>
      <c r="BI33" s="61"/>
      <c r="BJ33" s="61"/>
      <c r="BK33" s="61"/>
      <c r="BL33" s="61"/>
      <c r="BM33" s="61"/>
      <c r="BN33" s="80"/>
      <c r="BO33" s="80"/>
      <c r="BP33" s="90"/>
      <c r="BQ33" s="69"/>
      <c r="BR33" s="61"/>
      <c r="BS33" s="61"/>
      <c r="BT33" s="61"/>
      <c r="BU33" s="61"/>
      <c r="BV33" s="61"/>
      <c r="BW33" s="61"/>
      <c r="BX33" s="61"/>
      <c r="BY33" s="61"/>
      <c r="BZ33" s="61"/>
      <c r="CA33" s="61"/>
      <c r="CB33" s="61"/>
      <c r="CC33" s="61"/>
      <c r="CD33" s="61"/>
      <c r="CE33" s="61"/>
      <c r="CF33" s="61"/>
      <c r="CG33" s="61"/>
      <c r="CH33" s="61"/>
      <c r="CI33" s="83"/>
      <c r="CJ33" s="61"/>
      <c r="CK33" s="61"/>
      <c r="CL33" s="61"/>
      <c r="CM33" s="61"/>
      <c r="CN33" s="61"/>
      <c r="CO33" s="61"/>
      <c r="CP33" s="61"/>
      <c r="CQ33" s="61"/>
      <c r="CR33" s="61"/>
      <c r="CS33" s="61"/>
      <c r="CT33" s="61"/>
      <c r="CU33" s="61"/>
      <c r="CV33" s="61"/>
      <c r="CW33" s="61"/>
      <c r="CX33" s="61"/>
      <c r="CY33" s="61"/>
      <c r="CZ33" s="61"/>
      <c r="DA33" s="84"/>
      <c r="DB33" s="61"/>
      <c r="DC33" s="61"/>
      <c r="DD33" s="61"/>
      <c r="DE33" s="61"/>
      <c r="DF33" s="61"/>
      <c r="DG33" s="61"/>
      <c r="DH33" s="61"/>
      <c r="DI33" s="61"/>
      <c r="DJ33" s="61"/>
      <c r="DK33" s="61"/>
      <c r="DL33" s="61"/>
      <c r="DM33" s="61"/>
      <c r="DN33" s="61"/>
      <c r="DO33" s="61"/>
      <c r="DP33" s="61"/>
      <c r="DQ33" s="80"/>
      <c r="DR33" s="80"/>
      <c r="DS33" s="90"/>
      <c r="DT33" s="69"/>
      <c r="DU33" s="61"/>
      <c r="DV33" s="61"/>
      <c r="DW33" s="61"/>
      <c r="DX33" s="61"/>
      <c r="DY33" s="61"/>
      <c r="DZ33" s="61"/>
      <c r="EA33" s="61"/>
      <c r="EB33" s="61"/>
      <c r="EC33" s="61"/>
      <c r="ED33" s="61"/>
      <c r="EE33" s="61"/>
      <c r="EF33" s="61"/>
      <c r="EG33" s="61"/>
      <c r="EH33" s="61"/>
      <c r="EI33" s="61"/>
      <c r="EJ33" s="61"/>
      <c r="EK33" s="61"/>
      <c r="EL33" s="83"/>
      <c r="EM33" s="61"/>
      <c r="EN33" s="61"/>
      <c r="EO33" s="61"/>
      <c r="EP33" s="61"/>
      <c r="EQ33" s="61"/>
      <c r="ER33" s="61"/>
      <c r="ES33" s="61"/>
      <c r="ET33" s="61"/>
      <c r="EU33" s="61"/>
      <c r="EV33" s="61"/>
      <c r="EW33" s="61"/>
      <c r="EX33" s="61"/>
      <c r="EY33" s="61"/>
      <c r="EZ33" s="61"/>
      <c r="FA33" s="61"/>
      <c r="FB33" s="61"/>
      <c r="FC33" s="61"/>
      <c r="FD33" s="84"/>
      <c r="FE33" s="61"/>
      <c r="FF33" s="61"/>
      <c r="FG33" s="61"/>
      <c r="FH33" s="61"/>
      <c r="FI33" s="61"/>
      <c r="FJ33" s="61"/>
      <c r="FK33" s="61"/>
      <c r="FL33" s="61"/>
      <c r="FM33" s="61"/>
      <c r="FN33" s="61"/>
      <c r="FO33" s="61"/>
      <c r="FP33" s="61"/>
      <c r="FQ33" s="61"/>
      <c r="FR33" s="61"/>
      <c r="FS33" s="61"/>
      <c r="FT33" s="80"/>
      <c r="FU33" s="80"/>
      <c r="FV33" s="90"/>
      <c r="FW33" s="69"/>
      <c r="FX33" s="61"/>
      <c r="FY33" s="61"/>
      <c r="FZ33" s="61"/>
      <c r="GA33" s="61"/>
      <c r="GB33" s="61"/>
      <c r="GC33" s="61"/>
      <c r="GD33" s="61"/>
      <c r="GE33" s="61"/>
      <c r="GF33" s="61"/>
      <c r="GG33" s="61"/>
      <c r="GH33" s="61"/>
      <c r="GI33" s="61"/>
      <c r="GJ33" s="61"/>
      <c r="GK33" s="61"/>
      <c r="GL33" s="61"/>
      <c r="GM33" s="61"/>
      <c r="GN33" s="61"/>
      <c r="GO33" s="83"/>
      <c r="GP33" s="61"/>
      <c r="GQ33" s="61"/>
      <c r="GR33" s="61"/>
      <c r="GS33" s="61"/>
      <c r="GT33" s="61"/>
      <c r="GU33" s="61"/>
      <c r="GV33" s="61"/>
      <c r="GW33" s="61"/>
      <c r="GX33" s="61"/>
      <c r="GY33" s="61"/>
      <c r="GZ33" s="61"/>
      <c r="HA33" s="61"/>
      <c r="HB33" s="61"/>
      <c r="HC33" s="61"/>
      <c r="HD33" s="61"/>
      <c r="HE33" s="61"/>
      <c r="HF33" s="61"/>
      <c r="HG33" s="119"/>
      <c r="HH33" s="61"/>
      <c r="HI33" s="61"/>
      <c r="HJ33" s="61"/>
      <c r="HK33" s="61"/>
      <c r="HL33" s="61"/>
      <c r="HM33" s="61"/>
      <c r="HN33" s="61"/>
      <c r="HO33" s="61"/>
      <c r="HP33" s="61"/>
      <c r="HQ33" s="61"/>
      <c r="HR33" s="61"/>
      <c r="HS33" s="61"/>
      <c r="HT33" s="61"/>
      <c r="HU33" s="61"/>
      <c r="HV33" s="61"/>
      <c r="HW33" s="80"/>
      <c r="HX33" s="80"/>
      <c r="HY33" s="82"/>
      <c r="HZ33" s="61"/>
      <c r="IA33" s="61"/>
    </row>
    <row r="34" spans="1:235" s="26" customFormat="1">
      <c r="A34" s="61"/>
      <c r="B34" s="69"/>
      <c r="C34" s="107"/>
      <c r="D34" s="78"/>
      <c r="E34" s="61"/>
      <c r="F34" s="61"/>
      <c r="G34" s="61"/>
      <c r="H34" s="61"/>
      <c r="I34" s="61"/>
      <c r="J34" s="61"/>
      <c r="K34" s="107"/>
      <c r="L34" s="78"/>
      <c r="M34" s="113"/>
      <c r="N34" s="69"/>
      <c r="O34" s="112"/>
      <c r="P34" s="28"/>
      <c r="Q34" s="61"/>
      <c r="R34" s="107"/>
      <c r="S34" s="107"/>
      <c r="T34" s="107"/>
      <c r="U34" s="61"/>
      <c r="V34" s="61"/>
      <c r="W34" s="61"/>
      <c r="X34" s="61"/>
      <c r="Y34" s="61"/>
      <c r="Z34" s="61"/>
      <c r="AA34" s="61"/>
      <c r="AB34" s="61"/>
      <c r="AC34" s="61"/>
      <c r="AD34" s="61"/>
      <c r="AE34" s="61"/>
      <c r="AF34" s="79"/>
      <c r="AG34" s="61"/>
      <c r="AH34" s="61"/>
      <c r="AI34" s="61"/>
      <c r="AJ34" s="61"/>
      <c r="AK34" s="61"/>
      <c r="AL34" s="61"/>
      <c r="AM34" s="61"/>
      <c r="AN34" s="61"/>
      <c r="AO34" s="61"/>
      <c r="AP34" s="61"/>
      <c r="AQ34" s="61"/>
      <c r="AR34" s="61"/>
      <c r="AS34" s="61"/>
      <c r="AT34" s="61"/>
      <c r="AU34" s="61"/>
      <c r="AV34" s="61"/>
      <c r="AW34" s="61"/>
      <c r="AX34" s="118"/>
      <c r="AY34" s="61"/>
      <c r="AZ34" s="61"/>
      <c r="BA34" s="61"/>
      <c r="BB34" s="61"/>
      <c r="BC34" s="61"/>
      <c r="BD34" s="61"/>
      <c r="BE34" s="61"/>
      <c r="BF34" s="61"/>
      <c r="BG34" s="61"/>
      <c r="BH34" s="61"/>
      <c r="BI34" s="61"/>
      <c r="BJ34" s="61"/>
      <c r="BK34" s="61"/>
      <c r="BL34" s="61"/>
      <c r="BM34" s="61"/>
      <c r="BN34" s="80"/>
      <c r="BO34" s="87"/>
      <c r="BP34" s="89"/>
      <c r="BQ34" s="69"/>
      <c r="BR34" s="111"/>
      <c r="BS34" s="61"/>
      <c r="BT34" s="111"/>
      <c r="BU34" s="111"/>
      <c r="BV34" s="107"/>
      <c r="BW34" s="107"/>
      <c r="BX34" s="61"/>
      <c r="BY34" s="61"/>
      <c r="BZ34" s="61"/>
      <c r="CA34" s="61"/>
      <c r="CB34" s="61"/>
      <c r="CC34" s="61"/>
      <c r="CD34" s="61"/>
      <c r="CE34" s="61"/>
      <c r="CF34" s="61"/>
      <c r="CG34" s="61"/>
      <c r="CH34" s="61"/>
      <c r="CI34" s="83"/>
      <c r="CJ34" s="61"/>
      <c r="CK34" s="61"/>
      <c r="CL34" s="61"/>
      <c r="CM34" s="61"/>
      <c r="CN34" s="61"/>
      <c r="CO34" s="61"/>
      <c r="CP34" s="61"/>
      <c r="CQ34" s="61"/>
      <c r="CR34" s="61"/>
      <c r="CS34" s="61"/>
      <c r="CT34" s="61"/>
      <c r="CU34" s="61"/>
      <c r="CV34" s="61"/>
      <c r="CW34" s="61"/>
      <c r="CX34" s="61"/>
      <c r="CY34" s="61"/>
      <c r="CZ34" s="61"/>
      <c r="DA34" s="84"/>
      <c r="DB34" s="61"/>
      <c r="DC34" s="61"/>
      <c r="DD34" s="61"/>
      <c r="DE34" s="61"/>
      <c r="DF34" s="61"/>
      <c r="DG34" s="61"/>
      <c r="DH34" s="61"/>
      <c r="DI34" s="61"/>
      <c r="DJ34" s="61"/>
      <c r="DK34" s="61"/>
      <c r="DL34" s="61"/>
      <c r="DM34" s="61"/>
      <c r="DN34" s="61"/>
      <c r="DO34" s="61"/>
      <c r="DP34" s="61"/>
      <c r="DQ34" s="80"/>
      <c r="DR34" s="87"/>
      <c r="DS34" s="89"/>
      <c r="DT34" s="86"/>
      <c r="DU34" s="111"/>
      <c r="DV34" s="111"/>
      <c r="DW34" s="111"/>
      <c r="DX34" s="111"/>
      <c r="DY34" s="111"/>
      <c r="DZ34" s="111"/>
      <c r="EA34" s="111"/>
      <c r="EB34" s="111"/>
      <c r="EC34" s="111"/>
      <c r="ED34" s="111"/>
      <c r="EE34" s="111"/>
      <c r="EF34" s="111"/>
      <c r="EG34" s="111"/>
      <c r="EH34" s="111"/>
      <c r="EI34" s="111"/>
      <c r="EJ34" s="111"/>
      <c r="EK34" s="111"/>
      <c r="EL34" s="83"/>
      <c r="EM34" s="111"/>
      <c r="EN34" s="111"/>
      <c r="EO34" s="111"/>
      <c r="EP34" s="111"/>
      <c r="EQ34" s="111"/>
      <c r="ER34" s="111"/>
      <c r="ES34" s="111"/>
      <c r="ET34" s="111"/>
      <c r="EU34" s="111"/>
      <c r="EV34" s="111"/>
      <c r="EW34" s="111"/>
      <c r="EX34" s="111"/>
      <c r="EY34" s="111"/>
      <c r="EZ34" s="111"/>
      <c r="FA34" s="111"/>
      <c r="FB34" s="111"/>
      <c r="FC34" s="111"/>
      <c r="FD34" s="84"/>
      <c r="FE34" s="111"/>
      <c r="FF34" s="111"/>
      <c r="FG34" s="111"/>
      <c r="FH34" s="61"/>
      <c r="FI34" s="111"/>
      <c r="FJ34" s="111"/>
      <c r="FK34" s="111"/>
      <c r="FL34" s="61"/>
      <c r="FM34" s="61"/>
      <c r="FN34" s="61"/>
      <c r="FO34" s="61"/>
      <c r="FP34" s="61"/>
      <c r="FQ34" s="61"/>
      <c r="FR34" s="61"/>
      <c r="FS34" s="61"/>
      <c r="FT34" s="80"/>
      <c r="FU34" s="87"/>
      <c r="FV34" s="89"/>
      <c r="FW34" s="86"/>
      <c r="FX34" s="111"/>
      <c r="FY34" s="111"/>
      <c r="FZ34" s="111"/>
      <c r="GA34" s="111"/>
      <c r="GB34" s="111"/>
      <c r="GC34" s="111"/>
      <c r="GD34" s="111"/>
      <c r="GE34" s="111"/>
      <c r="GF34" s="111"/>
      <c r="GG34" s="111"/>
      <c r="GH34" s="111"/>
      <c r="GI34" s="111"/>
      <c r="GJ34" s="111"/>
      <c r="GK34" s="111"/>
      <c r="GL34" s="111"/>
      <c r="GM34" s="111"/>
      <c r="GN34" s="111"/>
      <c r="GO34" s="95"/>
      <c r="GP34" s="111"/>
      <c r="GQ34" s="111"/>
      <c r="GR34" s="111"/>
      <c r="GS34" s="111"/>
      <c r="GT34" s="111"/>
      <c r="GU34" s="111"/>
      <c r="GV34" s="111"/>
      <c r="GW34" s="111"/>
      <c r="GX34" s="111"/>
      <c r="GY34" s="111"/>
      <c r="GZ34" s="111"/>
      <c r="HA34" s="111"/>
      <c r="HB34" s="111"/>
      <c r="HC34" s="111"/>
      <c r="HD34" s="111"/>
      <c r="HE34" s="111"/>
      <c r="HF34" s="111"/>
      <c r="HG34" s="120"/>
      <c r="HH34" s="111"/>
      <c r="HI34" s="111"/>
      <c r="HJ34" s="111"/>
      <c r="HK34" s="61"/>
      <c r="HL34" s="111"/>
      <c r="HM34" s="111"/>
      <c r="HN34" s="111"/>
      <c r="HO34" s="61"/>
      <c r="HP34" s="111"/>
      <c r="HQ34" s="111"/>
      <c r="HR34" s="111"/>
      <c r="HS34" s="61"/>
      <c r="HT34" s="111"/>
      <c r="HU34" s="111"/>
      <c r="HV34" s="61"/>
      <c r="HW34" s="80"/>
      <c r="HX34" s="87"/>
      <c r="HY34" s="82"/>
      <c r="HZ34" s="61"/>
      <c r="IA34" s="61"/>
    </row>
    <row r="35" spans="1:235" s="26" customFormat="1">
      <c r="A35" s="61"/>
      <c r="B35" s="69"/>
      <c r="C35" s="61"/>
      <c r="D35" s="78"/>
      <c r="E35" s="61"/>
      <c r="F35" s="61"/>
      <c r="G35" s="61"/>
      <c r="H35" s="61"/>
      <c r="I35" s="61"/>
      <c r="J35" s="61"/>
      <c r="K35" s="107"/>
      <c r="L35" s="78"/>
      <c r="M35" s="113"/>
      <c r="N35" s="69"/>
      <c r="O35" s="112"/>
      <c r="P35" s="28"/>
      <c r="Q35" s="61"/>
      <c r="R35" s="61"/>
      <c r="S35" s="107"/>
      <c r="T35" s="107"/>
      <c r="U35" s="61"/>
      <c r="V35" s="61"/>
      <c r="W35" s="61"/>
      <c r="X35" s="61"/>
      <c r="Y35" s="61"/>
      <c r="Z35" s="61"/>
      <c r="AA35" s="61"/>
      <c r="AB35" s="61"/>
      <c r="AC35" s="61"/>
      <c r="AD35" s="61"/>
      <c r="AE35" s="61"/>
      <c r="AF35" s="79"/>
      <c r="AG35" s="61"/>
      <c r="AH35" s="61"/>
      <c r="AI35" s="61"/>
      <c r="AJ35" s="61"/>
      <c r="AK35" s="61"/>
      <c r="AL35" s="61"/>
      <c r="AM35" s="61"/>
      <c r="AN35" s="61"/>
      <c r="AO35" s="61"/>
      <c r="AP35" s="61"/>
      <c r="AQ35" s="61"/>
      <c r="AR35" s="61"/>
      <c r="AS35" s="61"/>
      <c r="AT35" s="61"/>
      <c r="AU35" s="61"/>
      <c r="AV35" s="61"/>
      <c r="AW35" s="61"/>
      <c r="AX35" s="118"/>
      <c r="AY35" s="61"/>
      <c r="AZ35" s="61"/>
      <c r="BA35" s="61"/>
      <c r="BB35" s="61"/>
      <c r="BC35" s="61"/>
      <c r="BD35" s="61"/>
      <c r="BE35" s="61"/>
      <c r="BF35" s="61"/>
      <c r="BG35" s="61"/>
      <c r="BH35" s="61"/>
      <c r="BI35" s="61"/>
      <c r="BJ35" s="61"/>
      <c r="BK35" s="61"/>
      <c r="BL35" s="61"/>
      <c r="BM35" s="61"/>
      <c r="BN35" s="80"/>
      <c r="BO35" s="87"/>
      <c r="BP35" s="89"/>
      <c r="BQ35" s="69"/>
      <c r="BR35" s="112"/>
      <c r="BS35" s="28"/>
      <c r="BT35" s="107"/>
      <c r="BU35" s="61"/>
      <c r="BV35" s="54"/>
      <c r="BW35" s="54"/>
      <c r="BX35" s="61"/>
      <c r="BY35" s="61"/>
      <c r="BZ35" s="61"/>
      <c r="CA35" s="61"/>
      <c r="CB35" s="61"/>
      <c r="CC35" s="61"/>
      <c r="CD35" s="61"/>
      <c r="CE35" s="61"/>
      <c r="CF35" s="61"/>
      <c r="CG35" s="61"/>
      <c r="CH35" s="61"/>
      <c r="CI35" s="83"/>
      <c r="CJ35" s="61"/>
      <c r="CK35" s="61"/>
      <c r="CL35" s="61"/>
      <c r="CM35" s="61"/>
      <c r="CN35" s="61"/>
      <c r="CO35" s="61"/>
      <c r="CP35" s="61"/>
      <c r="CQ35" s="61"/>
      <c r="CR35" s="61"/>
      <c r="CS35" s="61"/>
      <c r="CT35" s="61"/>
      <c r="CU35" s="61"/>
      <c r="CV35" s="61"/>
      <c r="CW35" s="61"/>
      <c r="CX35" s="61"/>
      <c r="CY35" s="61"/>
      <c r="CZ35" s="61"/>
      <c r="DA35" s="84"/>
      <c r="DB35" s="61"/>
      <c r="DC35" s="61"/>
      <c r="DD35" s="61"/>
      <c r="DE35" s="61"/>
      <c r="DF35" s="61"/>
      <c r="DG35" s="61"/>
      <c r="DH35" s="61"/>
      <c r="DI35" s="61"/>
      <c r="DJ35" s="61"/>
      <c r="DK35" s="61"/>
      <c r="DL35" s="61"/>
      <c r="DM35" s="61"/>
      <c r="DN35" s="61"/>
      <c r="DO35" s="61"/>
      <c r="DP35" s="61"/>
      <c r="DQ35" s="80"/>
      <c r="DR35" s="87"/>
      <c r="DS35" s="89"/>
      <c r="DT35" s="69"/>
      <c r="DU35" s="61"/>
      <c r="DV35" s="61"/>
      <c r="DW35" s="111"/>
      <c r="DX35" s="111"/>
      <c r="DY35" s="111"/>
      <c r="DZ35" s="111"/>
      <c r="EA35" s="111"/>
      <c r="EB35" s="111"/>
      <c r="EC35" s="111"/>
      <c r="ED35" s="111"/>
      <c r="EE35" s="111"/>
      <c r="EF35" s="111"/>
      <c r="EG35" s="111"/>
      <c r="EH35" s="111"/>
      <c r="EI35" s="111"/>
      <c r="EJ35" s="111"/>
      <c r="EK35" s="111"/>
      <c r="EL35" s="83"/>
      <c r="EM35" s="111"/>
      <c r="EN35" s="111"/>
      <c r="EO35" s="111"/>
      <c r="EP35" s="111"/>
      <c r="EQ35" s="111"/>
      <c r="ER35" s="111"/>
      <c r="ES35" s="111"/>
      <c r="ET35" s="111"/>
      <c r="EU35" s="111"/>
      <c r="EV35" s="111"/>
      <c r="EW35" s="111"/>
      <c r="EX35" s="111"/>
      <c r="EY35" s="111"/>
      <c r="EZ35" s="111"/>
      <c r="FA35" s="111"/>
      <c r="FB35" s="111"/>
      <c r="FC35" s="111"/>
      <c r="FD35" s="84"/>
      <c r="FE35" s="111"/>
      <c r="FF35" s="111"/>
      <c r="FG35" s="111"/>
      <c r="FH35" s="61"/>
      <c r="FI35" s="111"/>
      <c r="FJ35" s="111"/>
      <c r="FK35" s="111"/>
      <c r="FL35" s="61"/>
      <c r="FM35" s="61"/>
      <c r="FN35" s="61"/>
      <c r="FO35" s="61"/>
      <c r="FP35" s="61"/>
      <c r="FQ35" s="61"/>
      <c r="FR35" s="61"/>
      <c r="FS35" s="61"/>
      <c r="FT35" s="80"/>
      <c r="FU35" s="87"/>
      <c r="FV35" s="89"/>
      <c r="FW35" s="86"/>
      <c r="FX35" s="111"/>
      <c r="FY35" s="111"/>
      <c r="FZ35" s="111"/>
      <c r="GA35" s="111"/>
      <c r="GB35" s="111"/>
      <c r="GC35" s="111"/>
      <c r="GD35" s="111"/>
      <c r="GE35" s="111"/>
      <c r="GF35" s="111"/>
      <c r="GG35" s="111"/>
      <c r="GH35" s="111"/>
      <c r="GI35" s="111"/>
      <c r="GJ35" s="111"/>
      <c r="GK35" s="111"/>
      <c r="GL35" s="111"/>
      <c r="GM35" s="111"/>
      <c r="GN35" s="111"/>
      <c r="GO35" s="95"/>
      <c r="GP35" s="111"/>
      <c r="GQ35" s="111"/>
      <c r="GR35" s="111"/>
      <c r="GS35" s="111"/>
      <c r="GT35" s="111"/>
      <c r="GU35" s="111"/>
      <c r="GV35" s="111"/>
      <c r="GW35" s="111"/>
      <c r="GX35" s="111"/>
      <c r="GY35" s="111"/>
      <c r="GZ35" s="111"/>
      <c r="HA35" s="111"/>
      <c r="HB35" s="111"/>
      <c r="HC35" s="111"/>
      <c r="HD35" s="111"/>
      <c r="HE35" s="111"/>
      <c r="HF35" s="111"/>
      <c r="HG35" s="120"/>
      <c r="HH35" s="111"/>
      <c r="HI35" s="111"/>
      <c r="HJ35" s="111"/>
      <c r="HK35" s="61"/>
      <c r="HL35" s="111"/>
      <c r="HM35" s="111"/>
      <c r="HN35" s="111"/>
      <c r="HO35" s="61"/>
      <c r="HP35" s="111"/>
      <c r="HQ35" s="111"/>
      <c r="HR35" s="111"/>
      <c r="HS35" s="61"/>
      <c r="HT35" s="111"/>
      <c r="HU35" s="111"/>
      <c r="HV35" s="61"/>
      <c r="HW35" s="80"/>
      <c r="HX35" s="87"/>
      <c r="HY35" s="82"/>
      <c r="HZ35" s="61"/>
      <c r="IA35" s="61"/>
    </row>
    <row r="36" spans="1:235" s="26" customFormat="1">
      <c r="A36" s="61"/>
      <c r="B36" s="69"/>
      <c r="C36" s="107"/>
      <c r="D36" s="78"/>
      <c r="E36" s="61"/>
      <c r="F36" s="61"/>
      <c r="G36" s="61"/>
      <c r="H36" s="107"/>
      <c r="I36" s="61"/>
      <c r="J36" s="61"/>
      <c r="K36" s="107"/>
      <c r="L36" s="130"/>
      <c r="M36" s="111"/>
      <c r="N36" s="69"/>
      <c r="O36" s="112"/>
      <c r="P36" s="61"/>
      <c r="Q36" s="107"/>
      <c r="R36" s="61"/>
      <c r="S36" s="107"/>
      <c r="T36" s="107"/>
      <c r="U36" s="61"/>
      <c r="V36" s="61"/>
      <c r="W36" s="61"/>
      <c r="X36" s="61"/>
      <c r="Y36" s="61"/>
      <c r="Z36" s="61"/>
      <c r="AA36" s="61"/>
      <c r="AB36" s="61"/>
      <c r="AC36" s="61"/>
      <c r="AD36" s="61"/>
      <c r="AE36" s="61"/>
      <c r="AF36" s="79"/>
      <c r="AG36" s="61"/>
      <c r="AH36" s="61"/>
      <c r="AI36" s="61"/>
      <c r="AJ36" s="61"/>
      <c r="AK36" s="61"/>
      <c r="AL36" s="61"/>
      <c r="AM36" s="61"/>
      <c r="AN36" s="61"/>
      <c r="AO36" s="61"/>
      <c r="AP36" s="61"/>
      <c r="AQ36" s="61"/>
      <c r="AR36" s="61"/>
      <c r="AS36" s="61"/>
      <c r="AT36" s="61"/>
      <c r="AU36" s="61"/>
      <c r="AV36" s="61"/>
      <c r="AW36" s="61"/>
      <c r="AX36" s="118"/>
      <c r="AY36" s="61"/>
      <c r="AZ36" s="61"/>
      <c r="BA36" s="61"/>
      <c r="BB36" s="61"/>
      <c r="BC36" s="61"/>
      <c r="BD36" s="61"/>
      <c r="BE36" s="61"/>
      <c r="BF36" s="61"/>
      <c r="BG36" s="61"/>
      <c r="BH36" s="61"/>
      <c r="BI36" s="61"/>
      <c r="BJ36" s="61"/>
      <c r="BK36" s="61"/>
      <c r="BL36" s="61"/>
      <c r="BM36" s="61"/>
      <c r="BN36" s="80"/>
      <c r="BO36" s="87"/>
      <c r="BP36" s="89"/>
      <c r="BQ36" s="86"/>
      <c r="BR36" s="111"/>
      <c r="BS36" s="111"/>
      <c r="BT36" s="111"/>
      <c r="BU36" s="111"/>
      <c r="BV36" s="111"/>
      <c r="BW36" s="111"/>
      <c r="BX36" s="111"/>
      <c r="BY36" s="111"/>
      <c r="BZ36" s="111"/>
      <c r="CA36" s="111"/>
      <c r="CB36" s="111"/>
      <c r="CC36" s="111"/>
      <c r="CD36" s="111"/>
      <c r="CE36" s="111"/>
      <c r="CF36" s="111"/>
      <c r="CG36" s="111"/>
      <c r="CH36" s="111"/>
      <c r="CI36" s="83"/>
      <c r="CJ36" s="111"/>
      <c r="CK36" s="111"/>
      <c r="CL36" s="111"/>
      <c r="CM36" s="111"/>
      <c r="CN36" s="111"/>
      <c r="CO36" s="111"/>
      <c r="CP36" s="111"/>
      <c r="CQ36" s="111"/>
      <c r="CR36" s="111"/>
      <c r="CS36" s="111"/>
      <c r="CT36" s="111"/>
      <c r="CU36" s="111"/>
      <c r="CV36" s="111"/>
      <c r="CW36" s="111"/>
      <c r="CX36" s="111"/>
      <c r="CY36" s="111"/>
      <c r="CZ36" s="111"/>
      <c r="DA36" s="84"/>
      <c r="DB36" s="61"/>
      <c r="DC36" s="61"/>
      <c r="DD36" s="61"/>
      <c r="DE36" s="61"/>
      <c r="DF36" s="61"/>
      <c r="DG36" s="61"/>
      <c r="DH36" s="61"/>
      <c r="DI36" s="61"/>
      <c r="DJ36" s="61"/>
      <c r="DK36" s="61"/>
      <c r="DL36" s="61"/>
      <c r="DM36" s="61"/>
      <c r="DN36" s="61"/>
      <c r="DO36" s="61"/>
      <c r="DP36" s="61"/>
      <c r="DQ36" s="80"/>
      <c r="DR36" s="87"/>
      <c r="DS36" s="89"/>
      <c r="DT36" s="86"/>
      <c r="DU36" s="111"/>
      <c r="DV36" s="111"/>
      <c r="DW36" s="111"/>
      <c r="DX36" s="111"/>
      <c r="DY36" s="111"/>
      <c r="DZ36" s="111"/>
      <c r="EA36" s="111"/>
      <c r="EB36" s="111"/>
      <c r="EC36" s="111"/>
      <c r="ED36" s="111"/>
      <c r="EE36" s="111"/>
      <c r="EF36" s="111"/>
      <c r="EG36" s="111"/>
      <c r="EH36" s="111"/>
      <c r="EI36" s="111"/>
      <c r="EJ36" s="111"/>
      <c r="EK36" s="111"/>
      <c r="EL36" s="83"/>
      <c r="EM36" s="111"/>
      <c r="EN36" s="111"/>
      <c r="EO36" s="111"/>
      <c r="EP36" s="111"/>
      <c r="EQ36" s="111"/>
      <c r="ER36" s="111"/>
      <c r="ES36" s="111"/>
      <c r="ET36" s="111"/>
      <c r="EU36" s="111"/>
      <c r="EV36" s="111"/>
      <c r="EW36" s="111"/>
      <c r="EX36" s="111"/>
      <c r="EY36" s="111"/>
      <c r="EZ36" s="111"/>
      <c r="FA36" s="111"/>
      <c r="FB36" s="111"/>
      <c r="FC36" s="111"/>
      <c r="FD36" s="84"/>
      <c r="FE36" s="111"/>
      <c r="FF36" s="111"/>
      <c r="FG36" s="111"/>
      <c r="FH36" s="111"/>
      <c r="FI36" s="111"/>
      <c r="FJ36" s="111"/>
      <c r="FK36" s="111"/>
      <c r="FL36" s="61"/>
      <c r="FM36" s="61"/>
      <c r="FN36" s="61"/>
      <c r="FO36" s="61"/>
      <c r="FP36" s="61"/>
      <c r="FQ36" s="61"/>
      <c r="FR36" s="61"/>
      <c r="FS36" s="61"/>
      <c r="FT36" s="80"/>
      <c r="FU36" s="87"/>
      <c r="FV36" s="89"/>
      <c r="FW36" s="86"/>
      <c r="FX36" s="111"/>
      <c r="FY36" s="111"/>
      <c r="FZ36" s="111"/>
      <c r="GA36" s="111"/>
      <c r="GB36" s="111"/>
      <c r="GC36" s="111"/>
      <c r="GD36" s="111"/>
      <c r="GE36" s="111"/>
      <c r="GF36" s="111"/>
      <c r="GG36" s="111"/>
      <c r="GH36" s="111"/>
      <c r="GI36" s="111"/>
      <c r="GJ36" s="111"/>
      <c r="GK36" s="111"/>
      <c r="GL36" s="111"/>
      <c r="GM36" s="111"/>
      <c r="GN36" s="111"/>
      <c r="GO36" s="95"/>
      <c r="GP36" s="111"/>
      <c r="GQ36" s="111"/>
      <c r="GR36" s="111"/>
      <c r="GS36" s="111"/>
      <c r="GT36" s="111"/>
      <c r="GU36" s="111"/>
      <c r="GV36" s="111"/>
      <c r="GW36" s="111"/>
      <c r="GX36" s="111"/>
      <c r="GY36" s="111"/>
      <c r="GZ36" s="111"/>
      <c r="HA36" s="111"/>
      <c r="HB36" s="111"/>
      <c r="HC36" s="111"/>
      <c r="HD36" s="111"/>
      <c r="HE36" s="111"/>
      <c r="HF36" s="111"/>
      <c r="HG36" s="120"/>
      <c r="HH36" s="111"/>
      <c r="HI36" s="111"/>
      <c r="HJ36" s="111"/>
      <c r="HK36" s="61"/>
      <c r="HL36" s="111"/>
      <c r="HM36" s="111"/>
      <c r="HN36" s="111"/>
      <c r="HO36" s="61"/>
      <c r="HP36" s="111"/>
      <c r="HQ36" s="111"/>
      <c r="HR36" s="111"/>
      <c r="HS36" s="61"/>
      <c r="HT36" s="111"/>
      <c r="HU36" s="111"/>
      <c r="HV36" s="61"/>
      <c r="HW36" s="80"/>
      <c r="HX36" s="87"/>
      <c r="HY36" s="82"/>
      <c r="HZ36" s="111"/>
      <c r="IA36" s="111"/>
    </row>
    <row r="37" spans="1:235" s="26" customFormat="1">
      <c r="A37" s="61"/>
      <c r="B37" s="69"/>
      <c r="C37" s="61"/>
      <c r="D37" s="78"/>
      <c r="E37" s="61"/>
      <c r="F37" s="61"/>
      <c r="G37" s="61"/>
      <c r="H37" s="61"/>
      <c r="I37" s="61"/>
      <c r="J37" s="61"/>
      <c r="K37" s="107"/>
      <c r="L37" s="130"/>
      <c r="M37" s="111"/>
      <c r="N37" s="69"/>
      <c r="O37" s="112"/>
      <c r="P37" s="61"/>
      <c r="Q37" s="61"/>
      <c r="R37" s="61"/>
      <c r="S37" s="107"/>
      <c r="T37" s="107"/>
      <c r="U37" s="61"/>
      <c r="V37" s="61"/>
      <c r="W37" s="61"/>
      <c r="X37" s="61"/>
      <c r="Y37" s="61"/>
      <c r="Z37" s="61"/>
      <c r="AA37" s="61"/>
      <c r="AB37" s="61"/>
      <c r="AC37" s="61"/>
      <c r="AD37" s="61"/>
      <c r="AE37" s="61"/>
      <c r="AF37" s="79"/>
      <c r="AG37" s="61"/>
      <c r="AH37" s="61"/>
      <c r="AI37" s="61"/>
      <c r="AJ37" s="61"/>
      <c r="AK37" s="61"/>
      <c r="AL37" s="61"/>
      <c r="AM37" s="61"/>
      <c r="AN37" s="61"/>
      <c r="AO37" s="61"/>
      <c r="AP37" s="61"/>
      <c r="AQ37" s="61"/>
      <c r="AR37" s="61"/>
      <c r="AS37" s="61"/>
      <c r="AT37" s="61"/>
      <c r="AU37" s="61"/>
      <c r="AV37" s="61"/>
      <c r="AW37" s="61"/>
      <c r="AX37" s="118"/>
      <c r="AY37" s="61"/>
      <c r="AZ37" s="61"/>
      <c r="BA37" s="61"/>
      <c r="BB37" s="61"/>
      <c r="BC37" s="61"/>
      <c r="BD37" s="61"/>
      <c r="BE37" s="61"/>
      <c r="BF37" s="61"/>
      <c r="BG37" s="61"/>
      <c r="BH37" s="61"/>
      <c r="BI37" s="61"/>
      <c r="BJ37" s="61"/>
      <c r="BK37" s="61"/>
      <c r="BL37" s="61"/>
      <c r="BM37" s="61"/>
      <c r="BN37" s="80"/>
      <c r="BO37" s="87"/>
      <c r="BP37" s="89"/>
      <c r="BQ37" s="86"/>
      <c r="BR37" s="111"/>
      <c r="BS37" s="111"/>
      <c r="BT37" s="111"/>
      <c r="BU37" s="111"/>
      <c r="BV37" s="111"/>
      <c r="BW37" s="111"/>
      <c r="BX37" s="111"/>
      <c r="BY37" s="111"/>
      <c r="BZ37" s="111"/>
      <c r="CA37" s="111"/>
      <c r="CB37" s="111"/>
      <c r="CC37" s="111"/>
      <c r="CD37" s="111"/>
      <c r="CE37" s="111"/>
      <c r="CF37" s="111"/>
      <c r="CG37" s="111"/>
      <c r="CH37" s="111"/>
      <c r="CI37" s="83"/>
      <c r="CJ37" s="111"/>
      <c r="CK37" s="111"/>
      <c r="CL37" s="111"/>
      <c r="CM37" s="111"/>
      <c r="CN37" s="111"/>
      <c r="CO37" s="111"/>
      <c r="CP37" s="111"/>
      <c r="CQ37" s="111"/>
      <c r="CR37" s="111"/>
      <c r="CS37" s="111"/>
      <c r="CT37" s="111"/>
      <c r="CU37" s="111"/>
      <c r="CV37" s="111"/>
      <c r="CW37" s="111"/>
      <c r="CX37" s="111"/>
      <c r="CY37" s="111"/>
      <c r="CZ37" s="111"/>
      <c r="DA37" s="84"/>
      <c r="DB37" s="61"/>
      <c r="DC37" s="61"/>
      <c r="DD37" s="61"/>
      <c r="DE37" s="61"/>
      <c r="DF37" s="61"/>
      <c r="DG37" s="61"/>
      <c r="DH37" s="61"/>
      <c r="DI37" s="61"/>
      <c r="DJ37" s="61"/>
      <c r="DK37" s="61"/>
      <c r="DL37" s="61"/>
      <c r="DM37" s="61"/>
      <c r="DN37" s="61"/>
      <c r="DO37" s="61"/>
      <c r="DP37" s="61"/>
      <c r="DQ37" s="80"/>
      <c r="DR37" s="87"/>
      <c r="DS37" s="89"/>
      <c r="DT37" s="86"/>
      <c r="DU37" s="111"/>
      <c r="DV37" s="111"/>
      <c r="DW37" s="111"/>
      <c r="DX37" s="111"/>
      <c r="DY37" s="111"/>
      <c r="DZ37" s="111"/>
      <c r="EA37" s="111"/>
      <c r="EB37" s="111"/>
      <c r="EC37" s="111"/>
      <c r="ED37" s="111"/>
      <c r="EE37" s="111"/>
      <c r="EF37" s="111"/>
      <c r="EG37" s="111"/>
      <c r="EH37" s="111"/>
      <c r="EI37" s="111"/>
      <c r="EJ37" s="111"/>
      <c r="EK37" s="111"/>
      <c r="EL37" s="83"/>
      <c r="EM37" s="111"/>
      <c r="EN37" s="111"/>
      <c r="EO37" s="111"/>
      <c r="EP37" s="111"/>
      <c r="EQ37" s="111"/>
      <c r="ER37" s="111"/>
      <c r="ES37" s="111"/>
      <c r="ET37" s="111"/>
      <c r="EU37" s="111"/>
      <c r="EV37" s="111"/>
      <c r="EW37" s="111"/>
      <c r="EX37" s="111"/>
      <c r="EY37" s="111"/>
      <c r="EZ37" s="111"/>
      <c r="FA37" s="111"/>
      <c r="FB37" s="111"/>
      <c r="FC37" s="111"/>
      <c r="FD37" s="84"/>
      <c r="FE37" s="111"/>
      <c r="FF37" s="111"/>
      <c r="FG37" s="111"/>
      <c r="FH37" s="111"/>
      <c r="FI37" s="111"/>
      <c r="FJ37" s="111"/>
      <c r="FK37" s="111"/>
      <c r="FL37" s="61"/>
      <c r="FM37" s="61"/>
      <c r="FN37" s="61"/>
      <c r="FO37" s="61"/>
      <c r="FP37" s="61"/>
      <c r="FQ37" s="61"/>
      <c r="FR37" s="61"/>
      <c r="FS37" s="61"/>
      <c r="FT37" s="80"/>
      <c r="FU37" s="87"/>
      <c r="FV37" s="89"/>
      <c r="FW37" s="86"/>
      <c r="FX37" s="111"/>
      <c r="FY37" s="111"/>
      <c r="FZ37" s="111"/>
      <c r="GA37" s="111"/>
      <c r="GB37" s="111"/>
      <c r="GC37" s="111"/>
      <c r="GD37" s="111"/>
      <c r="GE37" s="111"/>
      <c r="GF37" s="111"/>
      <c r="GG37" s="111"/>
      <c r="GH37" s="111"/>
      <c r="GI37" s="111"/>
      <c r="GJ37" s="111"/>
      <c r="GK37" s="111"/>
      <c r="GL37" s="111"/>
      <c r="GM37" s="111"/>
      <c r="GN37" s="111"/>
      <c r="GO37" s="95"/>
      <c r="GP37" s="111"/>
      <c r="GQ37" s="111"/>
      <c r="GR37" s="111"/>
      <c r="GS37" s="111"/>
      <c r="GT37" s="111"/>
      <c r="GU37" s="111"/>
      <c r="GV37" s="111"/>
      <c r="GW37" s="111"/>
      <c r="GX37" s="111"/>
      <c r="GY37" s="111"/>
      <c r="GZ37" s="111"/>
      <c r="HA37" s="111"/>
      <c r="HB37" s="111"/>
      <c r="HC37" s="111"/>
      <c r="HD37" s="111"/>
      <c r="HE37" s="111"/>
      <c r="HF37" s="111"/>
      <c r="HG37" s="120"/>
      <c r="HH37" s="111"/>
      <c r="HI37" s="111"/>
      <c r="HJ37" s="111"/>
      <c r="HK37" s="61"/>
      <c r="HL37" s="111"/>
      <c r="HM37" s="111"/>
      <c r="HN37" s="111"/>
      <c r="HO37" s="61"/>
      <c r="HP37" s="111"/>
      <c r="HQ37" s="111"/>
      <c r="HR37" s="111"/>
      <c r="HS37" s="61"/>
      <c r="HT37" s="111"/>
      <c r="HU37" s="111"/>
      <c r="HV37" s="61"/>
      <c r="HW37" s="80"/>
      <c r="HX37" s="87"/>
      <c r="HY37" s="82"/>
      <c r="HZ37" s="111"/>
      <c r="IA37" s="111"/>
    </row>
    <row r="38" spans="1:235" s="26" customFormat="1">
      <c r="A38" s="61"/>
      <c r="B38" s="69"/>
      <c r="C38" s="71"/>
      <c r="D38" s="78"/>
      <c r="E38" s="71"/>
      <c r="F38" s="71"/>
      <c r="G38" s="71"/>
      <c r="H38" s="71"/>
      <c r="I38" s="25"/>
      <c r="J38" s="25"/>
      <c r="K38" s="71"/>
      <c r="L38" s="106"/>
      <c r="N38" s="96"/>
      <c r="O38" s="114"/>
      <c r="P38" s="71"/>
      <c r="Q38" s="61"/>
      <c r="R38" s="25"/>
      <c r="S38" s="25"/>
      <c r="T38" s="25"/>
      <c r="U38" s="71"/>
      <c r="V38" s="71"/>
      <c r="W38" s="71"/>
      <c r="X38" s="71"/>
      <c r="Y38" s="71"/>
      <c r="Z38" s="71"/>
      <c r="AA38" s="71"/>
      <c r="AB38" s="71"/>
      <c r="AC38" s="71"/>
      <c r="AD38" s="71"/>
      <c r="AE38" s="71"/>
      <c r="AF38" s="79"/>
      <c r="AG38" s="71"/>
      <c r="AH38" s="71"/>
      <c r="AI38" s="71"/>
      <c r="AJ38" s="71"/>
      <c r="AK38" s="71"/>
      <c r="AL38" s="71"/>
      <c r="AM38" s="71"/>
      <c r="AN38" s="71"/>
      <c r="AO38" s="71"/>
      <c r="AP38" s="71"/>
      <c r="AQ38" s="71"/>
      <c r="AR38" s="71"/>
      <c r="AS38" s="71"/>
      <c r="AT38" s="71"/>
      <c r="AU38" s="71"/>
      <c r="AV38" s="71"/>
      <c r="AW38" s="71"/>
      <c r="AX38" s="118"/>
      <c r="AY38" s="71"/>
      <c r="AZ38" s="71"/>
      <c r="BA38" s="71"/>
      <c r="BB38" s="61"/>
      <c r="BC38" s="71"/>
      <c r="BD38" s="71"/>
      <c r="BE38" s="71"/>
      <c r="BF38" s="61"/>
      <c r="BG38" s="71"/>
      <c r="BH38" s="71"/>
      <c r="BI38" s="71"/>
      <c r="BJ38" s="61"/>
      <c r="BK38" s="71"/>
      <c r="BL38" s="71"/>
      <c r="BM38" s="61"/>
      <c r="BN38" s="80"/>
      <c r="BO38" s="97"/>
      <c r="BP38" s="98"/>
      <c r="BQ38" s="99"/>
      <c r="CI38" s="83"/>
      <c r="DA38" s="84"/>
      <c r="DB38" s="71"/>
      <c r="DC38" s="71"/>
      <c r="DD38" s="71"/>
      <c r="DE38" s="61"/>
      <c r="DF38" s="71"/>
      <c r="DG38" s="71"/>
      <c r="DH38" s="71"/>
      <c r="DI38" s="61"/>
      <c r="DJ38" s="71"/>
      <c r="DK38" s="71"/>
      <c r="DL38" s="71"/>
      <c r="DM38" s="61"/>
      <c r="DN38" s="71"/>
      <c r="DO38" s="71"/>
      <c r="DP38" s="61"/>
      <c r="DQ38" s="80"/>
      <c r="DR38" s="97"/>
      <c r="DS38" s="98"/>
      <c r="DT38" s="99"/>
      <c r="EL38" s="83"/>
      <c r="FD38" s="84"/>
      <c r="FL38" s="61"/>
      <c r="FM38" s="71"/>
      <c r="FN38" s="71"/>
      <c r="FO38" s="71"/>
      <c r="FP38" s="61"/>
      <c r="FQ38" s="71"/>
      <c r="FR38" s="71"/>
      <c r="FS38" s="61"/>
      <c r="FT38" s="80"/>
      <c r="FU38" s="97"/>
      <c r="FV38" s="98"/>
      <c r="FW38" s="99"/>
      <c r="GO38" s="100"/>
      <c r="HG38" s="122"/>
      <c r="HO38" s="61"/>
      <c r="HS38" s="61"/>
      <c r="HW38" s="80"/>
      <c r="HX38" s="97"/>
      <c r="HY38" s="102"/>
    </row>
    <row r="39" spans="1:235" s="26" customFormat="1">
      <c r="A39" s="71"/>
      <c r="B39" s="69"/>
      <c r="C39" s="25"/>
      <c r="D39" s="78"/>
      <c r="E39" s="71"/>
      <c r="F39" s="71"/>
      <c r="G39" s="71"/>
      <c r="H39" s="71"/>
      <c r="I39" s="25"/>
      <c r="J39" s="71"/>
      <c r="K39" s="25"/>
      <c r="L39" s="103"/>
      <c r="N39" s="96"/>
      <c r="O39" s="114"/>
      <c r="P39" s="71"/>
      <c r="Q39" s="61"/>
      <c r="R39" s="71"/>
      <c r="S39" s="25"/>
      <c r="T39" s="25"/>
      <c r="U39" s="71"/>
      <c r="V39" s="71"/>
      <c r="W39" s="71"/>
      <c r="X39" s="71"/>
      <c r="Y39" s="71"/>
      <c r="Z39" s="71"/>
      <c r="AA39" s="71"/>
      <c r="AB39" s="71"/>
      <c r="AC39" s="71"/>
      <c r="AD39" s="71"/>
      <c r="AE39" s="71"/>
      <c r="AF39" s="79"/>
      <c r="AG39" s="71"/>
      <c r="AH39" s="71"/>
      <c r="AI39" s="71"/>
      <c r="AJ39" s="71"/>
      <c r="AK39" s="71"/>
      <c r="AL39" s="71"/>
      <c r="AM39" s="71"/>
      <c r="AN39" s="71"/>
      <c r="AO39" s="71"/>
      <c r="AP39" s="71"/>
      <c r="AQ39" s="71"/>
      <c r="AR39" s="71"/>
      <c r="AS39" s="71"/>
      <c r="AT39" s="71"/>
      <c r="AU39" s="71"/>
      <c r="AV39" s="71"/>
      <c r="AW39" s="71"/>
      <c r="AX39" s="118"/>
      <c r="AY39" s="71"/>
      <c r="AZ39" s="71"/>
      <c r="BA39" s="71"/>
      <c r="BB39" s="61"/>
      <c r="BC39" s="71"/>
      <c r="BD39" s="71"/>
      <c r="BE39" s="71"/>
      <c r="BF39" s="61"/>
      <c r="BG39" s="71"/>
      <c r="BH39" s="71"/>
      <c r="BI39" s="71"/>
      <c r="BJ39" s="61"/>
      <c r="BK39" s="71"/>
      <c r="BL39" s="71"/>
      <c r="BM39" s="61"/>
      <c r="BN39" s="80"/>
      <c r="BO39" s="97"/>
      <c r="BP39" s="98"/>
      <c r="BQ39" s="99"/>
      <c r="CI39" s="83"/>
      <c r="DA39" s="84"/>
      <c r="DB39" s="71"/>
      <c r="DC39" s="71"/>
      <c r="DD39" s="71"/>
      <c r="DE39" s="61"/>
      <c r="DF39" s="71"/>
      <c r="DG39" s="71"/>
      <c r="DH39" s="71"/>
      <c r="DI39" s="61"/>
      <c r="DJ39" s="71"/>
      <c r="DK39" s="71"/>
      <c r="DL39" s="71"/>
      <c r="DM39" s="61"/>
      <c r="DN39" s="71"/>
      <c r="DO39" s="71"/>
      <c r="DP39" s="61"/>
      <c r="DQ39" s="80"/>
      <c r="DR39" s="97"/>
      <c r="DS39" s="98"/>
      <c r="DT39" s="99"/>
      <c r="EL39" s="83"/>
      <c r="FD39" s="84"/>
      <c r="FT39" s="97"/>
      <c r="FU39" s="97"/>
      <c r="FV39" s="98"/>
      <c r="FW39" s="99"/>
      <c r="GO39" s="100"/>
      <c r="HG39" s="122"/>
      <c r="HW39" s="97"/>
      <c r="HX39" s="97"/>
      <c r="HY39" s="102"/>
    </row>
    <row r="40" spans="1:235" s="26" customFormat="1">
      <c r="A40" s="71"/>
      <c r="B40" s="69"/>
      <c r="C40" s="71"/>
      <c r="D40" s="103"/>
      <c r="E40" s="71"/>
      <c r="F40" s="71"/>
      <c r="G40" s="71"/>
      <c r="H40" s="71"/>
      <c r="I40" s="71"/>
      <c r="J40" s="25"/>
      <c r="K40" s="25"/>
      <c r="L40" s="103"/>
      <c r="M40" s="71"/>
      <c r="N40" s="96"/>
      <c r="O40" s="114"/>
      <c r="P40" s="71"/>
      <c r="Q40" s="61"/>
      <c r="R40" s="61"/>
      <c r="S40" s="54"/>
      <c r="T40" s="54"/>
      <c r="U40" s="71"/>
      <c r="V40" s="71"/>
      <c r="W40" s="71"/>
      <c r="X40" s="71"/>
      <c r="Y40" s="71"/>
      <c r="Z40" s="71"/>
      <c r="AA40" s="71"/>
      <c r="AB40" s="71"/>
      <c r="AC40" s="71"/>
      <c r="AD40" s="71"/>
      <c r="AE40" s="71"/>
      <c r="AF40" s="79"/>
      <c r="AG40" s="71"/>
      <c r="AH40" s="71"/>
      <c r="AI40" s="71"/>
      <c r="AJ40" s="71"/>
      <c r="AK40" s="71"/>
      <c r="AL40" s="71"/>
      <c r="AM40" s="71"/>
      <c r="AN40" s="71"/>
      <c r="AO40" s="71"/>
      <c r="AP40" s="71"/>
      <c r="AQ40" s="71"/>
      <c r="AR40" s="71"/>
      <c r="AS40" s="71"/>
      <c r="AT40" s="71"/>
      <c r="AU40" s="71"/>
      <c r="AV40" s="71"/>
      <c r="AW40" s="71"/>
      <c r="AX40" s="118"/>
      <c r="AY40" s="71"/>
      <c r="AZ40" s="71"/>
      <c r="BA40" s="71"/>
      <c r="BB40" s="61"/>
      <c r="BC40" s="71"/>
      <c r="BD40" s="71"/>
      <c r="BE40" s="71"/>
      <c r="BF40" s="61"/>
      <c r="BG40" s="71"/>
      <c r="BH40" s="71"/>
      <c r="BI40" s="71"/>
      <c r="BJ40" s="61"/>
      <c r="BK40" s="71"/>
      <c r="BL40" s="71"/>
      <c r="BM40" s="61"/>
      <c r="BN40" s="80"/>
      <c r="BO40" s="97"/>
      <c r="BP40" s="98"/>
      <c r="BQ40" s="96"/>
      <c r="CI40" s="83"/>
      <c r="DA40" s="84"/>
      <c r="DB40" s="71"/>
      <c r="DC40" s="71"/>
      <c r="DD40" s="71"/>
      <c r="DE40" s="71"/>
      <c r="DF40" s="71"/>
      <c r="DG40" s="71"/>
      <c r="DH40" s="71"/>
      <c r="DI40" s="71"/>
      <c r="DJ40" s="71"/>
      <c r="DK40" s="71"/>
      <c r="DL40" s="71"/>
      <c r="DM40" s="61"/>
      <c r="DN40" s="71"/>
      <c r="DO40" s="71"/>
      <c r="DP40" s="61"/>
      <c r="DQ40" s="80"/>
      <c r="DR40" s="97"/>
      <c r="DS40" s="98"/>
      <c r="DT40" s="96"/>
      <c r="DU40" s="114"/>
      <c r="DV40" s="66"/>
      <c r="DY40" s="25"/>
      <c r="DZ40" s="25"/>
      <c r="EA40" s="68"/>
      <c r="EB40" s="68"/>
      <c r="EC40" s="68"/>
      <c r="ED40" s="68"/>
      <c r="EE40" s="68"/>
      <c r="EF40" s="68"/>
      <c r="EG40" s="68"/>
      <c r="EH40" s="68"/>
      <c r="EI40" s="68"/>
      <c r="EJ40" s="68"/>
      <c r="EK40" s="68"/>
      <c r="EL40" s="83"/>
      <c r="EM40" s="68"/>
      <c r="EN40" s="68"/>
      <c r="EO40" s="68"/>
      <c r="EP40" s="68"/>
      <c r="EQ40" s="68"/>
      <c r="ER40" s="68"/>
      <c r="ES40" s="68"/>
      <c r="ET40" s="68"/>
      <c r="EU40" s="68"/>
      <c r="EV40" s="68"/>
      <c r="EW40" s="68"/>
      <c r="EX40" s="68"/>
      <c r="EY40" s="68"/>
      <c r="EZ40" s="68"/>
      <c r="FA40" s="68"/>
      <c r="FB40" s="68"/>
      <c r="FC40" s="68"/>
      <c r="FD40" s="84"/>
      <c r="FT40" s="97"/>
      <c r="FU40" s="97"/>
      <c r="FV40" s="98"/>
      <c r="FW40" s="99"/>
      <c r="GO40" s="100"/>
      <c r="HG40" s="122"/>
      <c r="HW40" s="97"/>
      <c r="HX40" s="97"/>
      <c r="HY40" s="102"/>
    </row>
    <row r="41" spans="1:235" s="26" customFormat="1">
      <c r="A41" s="71"/>
      <c r="B41" s="69"/>
      <c r="C41" s="71"/>
      <c r="D41" s="103"/>
      <c r="E41" s="71"/>
      <c r="F41" s="71"/>
      <c r="G41" s="71"/>
      <c r="H41" s="25"/>
      <c r="I41" s="107"/>
      <c r="J41" s="107"/>
      <c r="K41" s="25"/>
      <c r="L41" s="78"/>
      <c r="N41" s="96"/>
      <c r="O41" s="114"/>
      <c r="P41" s="71"/>
      <c r="Q41" s="61"/>
      <c r="R41" s="61"/>
      <c r="S41" s="25"/>
      <c r="T41" s="25"/>
      <c r="U41" s="71"/>
      <c r="V41" s="71"/>
      <c r="W41" s="71"/>
      <c r="X41" s="71"/>
      <c r="Y41" s="71"/>
      <c r="Z41" s="71"/>
      <c r="AA41" s="71"/>
      <c r="AB41" s="71"/>
      <c r="AC41" s="71"/>
      <c r="AD41" s="71"/>
      <c r="AE41" s="71"/>
      <c r="AF41" s="79"/>
      <c r="AG41" s="71"/>
      <c r="AH41" s="71"/>
      <c r="AI41" s="71"/>
      <c r="AJ41" s="71"/>
      <c r="AK41" s="71"/>
      <c r="AL41" s="71"/>
      <c r="AM41" s="71"/>
      <c r="AN41" s="71"/>
      <c r="AO41" s="71"/>
      <c r="AP41" s="71"/>
      <c r="AQ41" s="71"/>
      <c r="AR41" s="71"/>
      <c r="AS41" s="71"/>
      <c r="AT41" s="71"/>
      <c r="AU41" s="71"/>
      <c r="AV41" s="71"/>
      <c r="AW41" s="71"/>
      <c r="AX41" s="118"/>
      <c r="AY41" s="71"/>
      <c r="AZ41" s="71"/>
      <c r="BA41" s="71"/>
      <c r="BB41" s="61"/>
      <c r="BC41" s="71"/>
      <c r="BD41" s="71"/>
      <c r="BE41" s="71"/>
      <c r="BF41" s="61"/>
      <c r="BG41" s="71"/>
      <c r="BH41" s="71"/>
      <c r="BI41" s="71"/>
      <c r="BJ41" s="61"/>
      <c r="BK41" s="71"/>
      <c r="BL41" s="71"/>
      <c r="BM41" s="61"/>
      <c r="BN41" s="80"/>
      <c r="BO41" s="97"/>
      <c r="BP41" s="102"/>
      <c r="BQ41" s="99"/>
      <c r="CI41" s="83"/>
      <c r="DA41" s="84"/>
      <c r="DB41" s="71"/>
      <c r="DC41" s="71"/>
      <c r="DD41" s="71"/>
      <c r="DE41" s="71"/>
      <c r="DF41" s="71"/>
      <c r="DG41" s="71"/>
      <c r="DH41" s="71"/>
      <c r="DI41" s="71"/>
      <c r="DJ41" s="71"/>
      <c r="DK41" s="71"/>
      <c r="DL41" s="71"/>
      <c r="DM41" s="61"/>
      <c r="DN41" s="71"/>
      <c r="DO41" s="71"/>
      <c r="DP41" s="61"/>
      <c r="DQ41" s="80"/>
      <c r="DR41" s="97"/>
      <c r="DS41" s="98"/>
      <c r="DT41" s="99"/>
      <c r="EL41" s="83"/>
      <c r="FD41" s="84"/>
      <c r="FT41" s="97"/>
      <c r="FU41" s="97"/>
      <c r="FV41" s="98"/>
      <c r="FW41" s="99"/>
      <c r="GO41" s="100"/>
      <c r="HG41" s="122"/>
      <c r="HW41" s="97"/>
      <c r="HX41" s="97"/>
      <c r="HY41" s="102"/>
    </row>
    <row r="42" spans="1:235" s="26" customFormat="1">
      <c r="A42" s="71"/>
      <c r="B42" s="69"/>
      <c r="C42" s="25"/>
      <c r="D42" s="103"/>
      <c r="E42" s="71"/>
      <c r="F42" s="71"/>
      <c r="G42" s="71"/>
      <c r="H42" s="71"/>
      <c r="I42" s="71"/>
      <c r="J42" s="71"/>
      <c r="K42" s="25"/>
      <c r="L42" s="103"/>
      <c r="M42" s="71"/>
      <c r="N42" s="96"/>
      <c r="O42" s="114"/>
      <c r="P42" s="71"/>
      <c r="Q42" s="61"/>
      <c r="R42" s="71"/>
      <c r="S42" s="71"/>
      <c r="T42" s="71"/>
      <c r="U42" s="71"/>
      <c r="V42" s="71"/>
      <c r="W42" s="71"/>
      <c r="X42" s="71"/>
      <c r="Y42" s="71"/>
      <c r="Z42" s="71"/>
      <c r="AA42" s="71"/>
      <c r="AB42" s="71"/>
      <c r="AC42" s="71"/>
      <c r="AD42" s="71"/>
      <c r="AE42" s="71"/>
      <c r="AF42" s="79"/>
      <c r="AG42" s="71"/>
      <c r="AH42" s="71"/>
      <c r="AI42" s="71"/>
      <c r="AJ42" s="71"/>
      <c r="AK42" s="71"/>
      <c r="AL42" s="71"/>
      <c r="AM42" s="71"/>
      <c r="AN42" s="71"/>
      <c r="AO42" s="71"/>
      <c r="AP42" s="71"/>
      <c r="AQ42" s="71"/>
      <c r="AR42" s="71"/>
      <c r="AS42" s="71"/>
      <c r="AT42" s="71"/>
      <c r="AU42" s="71"/>
      <c r="AV42" s="71"/>
      <c r="AW42" s="71"/>
      <c r="AX42" s="118"/>
      <c r="AY42" s="71"/>
      <c r="AZ42" s="71"/>
      <c r="BA42" s="71"/>
      <c r="BB42" s="61"/>
      <c r="BC42" s="71"/>
      <c r="BD42" s="71"/>
      <c r="BE42" s="71"/>
      <c r="BF42" s="61"/>
      <c r="BG42" s="71"/>
      <c r="BH42" s="71"/>
      <c r="BI42" s="71"/>
      <c r="BJ42" s="61"/>
      <c r="BK42" s="71"/>
      <c r="BL42" s="71"/>
      <c r="BM42" s="61"/>
      <c r="BN42" s="80"/>
      <c r="BO42" s="124"/>
      <c r="BP42" s="102"/>
      <c r="BQ42" s="96"/>
      <c r="BR42" s="71"/>
      <c r="BS42" s="71"/>
      <c r="BT42" s="71"/>
      <c r="BU42" s="71"/>
      <c r="BV42" s="71"/>
      <c r="BW42" s="71"/>
      <c r="BX42" s="71"/>
      <c r="BY42" s="71"/>
      <c r="BZ42" s="71"/>
      <c r="CA42" s="71"/>
      <c r="CB42" s="71"/>
      <c r="CC42" s="71"/>
      <c r="CD42" s="71"/>
      <c r="CE42" s="71"/>
      <c r="CF42" s="71"/>
      <c r="CG42" s="71"/>
      <c r="CH42" s="71"/>
      <c r="CI42" s="115"/>
      <c r="CJ42" s="71"/>
      <c r="CK42" s="71"/>
      <c r="CL42" s="71"/>
      <c r="CM42" s="71"/>
      <c r="CN42" s="71"/>
      <c r="CO42" s="71"/>
      <c r="CP42" s="71"/>
      <c r="CQ42" s="71"/>
      <c r="CR42" s="71"/>
      <c r="CS42" s="71"/>
      <c r="CT42" s="71"/>
      <c r="CU42" s="71"/>
      <c r="CV42" s="71"/>
      <c r="CW42" s="71"/>
      <c r="CX42" s="71"/>
      <c r="CY42" s="71"/>
      <c r="CZ42" s="71"/>
      <c r="DA42" s="84"/>
      <c r="DB42" s="71"/>
      <c r="DC42" s="71"/>
      <c r="DD42" s="71"/>
      <c r="DE42" s="71"/>
      <c r="DF42" s="71"/>
      <c r="DG42" s="71"/>
      <c r="DH42" s="71"/>
      <c r="DI42" s="71"/>
      <c r="DJ42" s="71"/>
      <c r="DK42" s="71"/>
      <c r="DL42" s="71"/>
      <c r="DM42" s="61"/>
      <c r="DN42" s="71"/>
      <c r="DO42" s="71"/>
      <c r="DP42" s="61"/>
      <c r="DQ42" s="80"/>
      <c r="DR42" s="105"/>
      <c r="DS42" s="126"/>
      <c r="DT42" s="96"/>
      <c r="DU42" s="71"/>
      <c r="DV42" s="71"/>
      <c r="DW42" s="71"/>
      <c r="DX42" s="71"/>
      <c r="DY42" s="71"/>
      <c r="DZ42" s="71"/>
      <c r="EA42" s="71"/>
      <c r="EB42" s="71"/>
      <c r="EC42" s="71"/>
      <c r="ED42" s="71"/>
      <c r="EE42" s="71"/>
      <c r="EF42" s="71"/>
      <c r="EG42" s="71"/>
      <c r="EH42" s="71"/>
      <c r="EI42" s="71"/>
      <c r="EJ42" s="71"/>
      <c r="EK42" s="71"/>
      <c r="EL42" s="83"/>
      <c r="EM42" s="71"/>
      <c r="EN42" s="71"/>
      <c r="EO42" s="71"/>
      <c r="EP42" s="71"/>
      <c r="EQ42" s="71"/>
      <c r="ER42" s="71"/>
      <c r="ES42" s="71"/>
      <c r="ET42" s="71"/>
      <c r="EU42" s="71"/>
      <c r="EV42" s="71"/>
      <c r="EW42" s="71"/>
      <c r="EX42" s="71"/>
      <c r="EY42" s="71"/>
      <c r="EZ42" s="71"/>
      <c r="FA42" s="71"/>
      <c r="FB42" s="71"/>
      <c r="FC42" s="71"/>
      <c r="FD42" s="84"/>
      <c r="FE42" s="71"/>
      <c r="FF42" s="71"/>
      <c r="FG42" s="71"/>
      <c r="FH42" s="71"/>
      <c r="FI42" s="71"/>
      <c r="FJ42" s="71"/>
      <c r="FK42" s="71"/>
      <c r="FL42" s="71"/>
      <c r="FM42" s="71"/>
      <c r="FN42" s="71"/>
      <c r="FO42" s="71"/>
      <c r="FP42" s="71"/>
      <c r="FQ42" s="71"/>
      <c r="FR42" s="71"/>
      <c r="FS42" s="71"/>
      <c r="FT42" s="105"/>
      <c r="FU42" s="105"/>
      <c r="FV42" s="126"/>
      <c r="FW42" s="96"/>
      <c r="FX42" s="71"/>
      <c r="FY42" s="71"/>
      <c r="FZ42" s="71"/>
      <c r="GA42" s="71"/>
      <c r="GB42" s="71"/>
      <c r="GC42" s="71"/>
      <c r="GD42" s="71"/>
      <c r="GE42" s="71"/>
      <c r="GF42" s="71"/>
      <c r="GG42" s="71"/>
      <c r="GH42" s="71"/>
      <c r="GI42" s="71"/>
      <c r="GJ42" s="71"/>
      <c r="GK42" s="71"/>
      <c r="GL42" s="71"/>
      <c r="GM42" s="71"/>
      <c r="GN42" s="71"/>
      <c r="GO42" s="115"/>
      <c r="GP42" s="71"/>
      <c r="GQ42" s="71"/>
      <c r="GR42" s="71"/>
      <c r="GS42" s="71"/>
      <c r="GT42" s="71"/>
      <c r="GU42" s="71"/>
      <c r="GV42" s="71"/>
      <c r="GW42" s="71"/>
      <c r="GX42" s="71"/>
      <c r="GY42" s="71"/>
      <c r="GZ42" s="71"/>
      <c r="HA42" s="71"/>
      <c r="HB42" s="71"/>
      <c r="HC42" s="71"/>
      <c r="HD42" s="71"/>
      <c r="HE42" s="71"/>
      <c r="HF42" s="71"/>
      <c r="HG42" s="128"/>
      <c r="HH42" s="71"/>
      <c r="HI42" s="71"/>
      <c r="HJ42" s="71"/>
      <c r="HK42" s="71"/>
      <c r="HL42" s="71"/>
      <c r="HM42" s="71"/>
      <c r="HN42" s="71"/>
      <c r="HO42" s="71"/>
      <c r="HP42" s="71"/>
      <c r="HQ42" s="71"/>
      <c r="HR42" s="71"/>
      <c r="HS42" s="71"/>
      <c r="HT42" s="71"/>
      <c r="HU42" s="71"/>
      <c r="HV42" s="71"/>
      <c r="HW42" s="105"/>
      <c r="HX42" s="105"/>
      <c r="HY42" s="102"/>
      <c r="HZ42" s="71"/>
      <c r="IA42" s="71"/>
    </row>
    <row r="43" spans="1:235" s="26" customFormat="1">
      <c r="A43" s="71"/>
      <c r="B43" s="96"/>
      <c r="C43" s="25"/>
      <c r="D43" s="103"/>
      <c r="E43" s="71"/>
      <c r="F43" s="71"/>
      <c r="G43" s="71"/>
      <c r="H43" s="71"/>
      <c r="I43" s="71"/>
      <c r="J43" s="71"/>
      <c r="K43" s="25"/>
      <c r="L43" s="103"/>
      <c r="M43" s="113"/>
      <c r="N43" s="96"/>
      <c r="O43" s="114"/>
      <c r="P43" s="66"/>
      <c r="S43" s="25"/>
      <c r="T43" s="25"/>
      <c r="U43" s="71"/>
      <c r="V43" s="71"/>
      <c r="W43" s="71"/>
      <c r="X43" s="71"/>
      <c r="Y43" s="71"/>
      <c r="Z43" s="71"/>
      <c r="AA43" s="71"/>
      <c r="AB43" s="71"/>
      <c r="AC43" s="71"/>
      <c r="AD43" s="71"/>
      <c r="AE43" s="71"/>
      <c r="AF43" s="79"/>
      <c r="AG43" s="71"/>
      <c r="AH43" s="71"/>
      <c r="AI43" s="71"/>
      <c r="AJ43" s="71"/>
      <c r="AK43" s="71"/>
      <c r="AL43" s="71"/>
      <c r="AM43" s="71"/>
      <c r="AN43" s="71"/>
      <c r="AO43" s="71"/>
      <c r="AP43" s="71"/>
      <c r="AQ43" s="71"/>
      <c r="AR43" s="71"/>
      <c r="AS43" s="71"/>
      <c r="AT43" s="71"/>
      <c r="AU43" s="71"/>
      <c r="AV43" s="71"/>
      <c r="AW43" s="71"/>
      <c r="AX43" s="118"/>
      <c r="AY43" s="71"/>
      <c r="AZ43" s="71"/>
      <c r="BA43" s="71"/>
      <c r="BB43" s="61"/>
      <c r="BC43" s="71"/>
      <c r="BD43" s="71"/>
      <c r="BE43" s="71"/>
      <c r="BF43" s="61"/>
      <c r="BG43" s="71"/>
      <c r="BH43" s="71"/>
      <c r="BI43" s="71"/>
      <c r="BJ43" s="61"/>
      <c r="BK43" s="71"/>
      <c r="BL43" s="71"/>
      <c r="BM43" s="61"/>
      <c r="BN43" s="80"/>
      <c r="BO43" s="97"/>
      <c r="BP43" s="98"/>
      <c r="BQ43" s="99"/>
      <c r="CI43" s="100"/>
      <c r="DA43" s="84"/>
      <c r="DB43" s="71"/>
      <c r="DC43" s="71"/>
      <c r="DD43" s="71"/>
      <c r="DE43" s="71"/>
      <c r="DF43" s="71"/>
      <c r="DG43" s="71"/>
      <c r="DH43" s="71"/>
      <c r="DI43" s="71"/>
      <c r="DJ43" s="71"/>
      <c r="DK43" s="71"/>
      <c r="DL43" s="71"/>
      <c r="DM43" s="71"/>
      <c r="DN43" s="71"/>
      <c r="DO43" s="71"/>
      <c r="DP43" s="61"/>
      <c r="DQ43" s="80"/>
      <c r="DR43" s="97"/>
      <c r="DS43" s="98"/>
      <c r="DT43" s="99"/>
      <c r="EL43" s="100"/>
      <c r="FD43" s="101"/>
      <c r="FT43" s="97"/>
      <c r="FU43" s="97"/>
      <c r="FV43" s="98"/>
      <c r="FW43" s="99"/>
      <c r="GO43" s="100"/>
      <c r="HG43" s="122"/>
      <c r="HW43" s="97"/>
      <c r="HX43" s="97"/>
      <c r="HY43" s="102"/>
    </row>
    <row r="44" spans="1:235" s="26" customFormat="1">
      <c r="A44" s="71"/>
      <c r="B44" s="96"/>
      <c r="C44" s="71"/>
      <c r="D44" s="103"/>
      <c r="E44" s="71"/>
      <c r="F44" s="71"/>
      <c r="G44" s="71"/>
      <c r="H44" s="25"/>
      <c r="I44" s="71"/>
      <c r="J44" s="71"/>
      <c r="K44" s="71"/>
      <c r="L44" s="103"/>
      <c r="M44" s="71"/>
      <c r="N44" s="96"/>
      <c r="O44" s="114"/>
      <c r="P44" s="66"/>
      <c r="Q44" s="66"/>
      <c r="R44" s="71"/>
      <c r="S44" s="25"/>
      <c r="T44" s="25"/>
      <c r="U44" s="71"/>
      <c r="V44" s="71"/>
      <c r="W44" s="71"/>
      <c r="X44" s="71"/>
      <c r="Y44" s="71"/>
      <c r="Z44" s="71"/>
      <c r="AA44" s="71"/>
      <c r="AB44" s="71"/>
      <c r="AC44" s="71"/>
      <c r="AD44" s="71"/>
      <c r="AE44" s="71"/>
      <c r="AF44" s="79"/>
      <c r="AG44" s="71"/>
      <c r="AH44" s="71"/>
      <c r="AI44" s="71"/>
      <c r="AJ44" s="71"/>
      <c r="AK44" s="71"/>
      <c r="AL44" s="71"/>
      <c r="AM44" s="71"/>
      <c r="AN44" s="71"/>
      <c r="AO44" s="71"/>
      <c r="AP44" s="71"/>
      <c r="AQ44" s="71"/>
      <c r="AR44" s="71"/>
      <c r="AS44" s="71"/>
      <c r="AT44" s="71"/>
      <c r="AU44" s="71"/>
      <c r="AV44" s="71"/>
      <c r="AW44" s="71"/>
      <c r="AX44" s="118"/>
      <c r="AY44" s="71"/>
      <c r="AZ44" s="71"/>
      <c r="BA44" s="71"/>
      <c r="BB44" s="61"/>
      <c r="BC44" s="71"/>
      <c r="BD44" s="71"/>
      <c r="BE44" s="71"/>
      <c r="BF44" s="61"/>
      <c r="BG44" s="71"/>
      <c r="BH44" s="71"/>
      <c r="BI44" s="71"/>
      <c r="BJ44" s="61"/>
      <c r="BK44" s="71"/>
      <c r="BL44" s="71"/>
      <c r="BM44" s="61"/>
      <c r="BN44" s="80"/>
      <c r="BO44" s="105"/>
      <c r="BP44" s="102"/>
      <c r="BQ44" s="96"/>
      <c r="BR44" s="71"/>
      <c r="BS44" s="71"/>
      <c r="BT44" s="71"/>
      <c r="BU44" s="71"/>
      <c r="BV44" s="71"/>
      <c r="BW44" s="71"/>
      <c r="BX44" s="71"/>
      <c r="BY44" s="71"/>
      <c r="BZ44" s="71"/>
      <c r="CA44" s="71"/>
      <c r="CB44" s="71"/>
      <c r="CC44" s="71"/>
      <c r="CD44" s="71"/>
      <c r="CE44" s="71"/>
      <c r="CF44" s="71"/>
      <c r="CG44" s="71"/>
      <c r="CH44" s="71"/>
      <c r="CI44" s="115"/>
      <c r="CJ44" s="71"/>
      <c r="CK44" s="71"/>
      <c r="CL44" s="71"/>
      <c r="CM44" s="71"/>
      <c r="CN44" s="71"/>
      <c r="CO44" s="71"/>
      <c r="CP44" s="71"/>
      <c r="CQ44" s="71"/>
      <c r="CR44" s="71"/>
      <c r="CS44" s="71"/>
      <c r="CT44" s="71"/>
      <c r="CU44" s="71"/>
      <c r="CV44" s="71"/>
      <c r="CW44" s="71"/>
      <c r="CX44" s="71"/>
      <c r="CY44" s="71"/>
      <c r="CZ44" s="71"/>
      <c r="DA44" s="84"/>
      <c r="DB44" s="71"/>
      <c r="DC44" s="71"/>
      <c r="DD44" s="71"/>
      <c r="DE44" s="71"/>
      <c r="DF44" s="71"/>
      <c r="DG44" s="71"/>
      <c r="DH44" s="71"/>
      <c r="DI44" s="71"/>
      <c r="DJ44" s="71"/>
      <c r="DK44" s="71"/>
      <c r="DL44" s="71"/>
      <c r="DM44" s="71"/>
      <c r="DN44" s="71"/>
      <c r="DO44" s="71"/>
      <c r="DP44" s="61"/>
      <c r="DQ44" s="80"/>
      <c r="DR44" s="105"/>
      <c r="DS44" s="126"/>
      <c r="DT44" s="96"/>
      <c r="DU44" s="71"/>
      <c r="DV44" s="71"/>
      <c r="DW44" s="71"/>
      <c r="DX44" s="71"/>
      <c r="DY44" s="71"/>
      <c r="DZ44" s="71"/>
      <c r="EA44" s="71"/>
      <c r="EB44" s="71"/>
      <c r="EC44" s="71"/>
      <c r="ED44" s="71"/>
      <c r="EE44" s="71"/>
      <c r="EF44" s="71"/>
      <c r="EG44" s="71"/>
      <c r="EH44" s="71"/>
      <c r="EI44" s="71"/>
      <c r="EJ44" s="71"/>
      <c r="EK44" s="71"/>
      <c r="EL44" s="115"/>
      <c r="EM44" s="71"/>
      <c r="EN44" s="71"/>
      <c r="EO44" s="71"/>
      <c r="EP44" s="71"/>
      <c r="EQ44" s="71"/>
      <c r="ER44" s="71"/>
      <c r="ES44" s="71"/>
      <c r="ET44" s="71"/>
      <c r="EU44" s="71"/>
      <c r="EV44" s="71"/>
      <c r="EW44" s="71"/>
      <c r="EX44" s="71"/>
      <c r="EY44" s="71"/>
      <c r="EZ44" s="71"/>
      <c r="FA44" s="71"/>
      <c r="FB44" s="71"/>
      <c r="FC44" s="71"/>
      <c r="FD44" s="125"/>
      <c r="FE44" s="71"/>
      <c r="FF44" s="71"/>
      <c r="FG44" s="71"/>
      <c r="FH44" s="71"/>
      <c r="FI44" s="71"/>
      <c r="FJ44" s="71"/>
      <c r="FK44" s="71"/>
      <c r="FL44" s="71"/>
      <c r="FM44" s="71"/>
      <c r="FN44" s="71"/>
      <c r="FO44" s="71"/>
      <c r="FP44" s="71"/>
      <c r="FQ44" s="71"/>
      <c r="FR44" s="71"/>
      <c r="FS44" s="71"/>
      <c r="FT44" s="105"/>
      <c r="FU44" s="105"/>
      <c r="FV44" s="126"/>
      <c r="FW44" s="96"/>
      <c r="FX44" s="71"/>
      <c r="FY44" s="71"/>
      <c r="FZ44" s="71"/>
      <c r="GA44" s="71"/>
      <c r="GB44" s="71"/>
      <c r="GC44" s="71"/>
      <c r="GD44" s="71"/>
      <c r="GE44" s="71"/>
      <c r="GF44" s="71"/>
      <c r="GG44" s="71"/>
      <c r="GH44" s="71"/>
      <c r="GI44" s="71"/>
      <c r="GJ44" s="71"/>
      <c r="GK44" s="71"/>
      <c r="GL44" s="71"/>
      <c r="GM44" s="71"/>
      <c r="GN44" s="71"/>
      <c r="GO44" s="115"/>
      <c r="GP44" s="71"/>
      <c r="GQ44" s="71"/>
      <c r="GR44" s="71"/>
      <c r="GS44" s="71"/>
      <c r="GT44" s="71"/>
      <c r="GU44" s="71"/>
      <c r="GV44" s="71"/>
      <c r="GW44" s="71"/>
      <c r="GX44" s="71"/>
      <c r="GY44" s="71"/>
      <c r="GZ44" s="71"/>
      <c r="HA44" s="71"/>
      <c r="HB44" s="71"/>
      <c r="HC44" s="71"/>
      <c r="HD44" s="71"/>
      <c r="HE44" s="71"/>
      <c r="HF44" s="71"/>
      <c r="HG44" s="128"/>
      <c r="HH44" s="71"/>
      <c r="HI44" s="71"/>
      <c r="HJ44" s="71"/>
      <c r="HK44" s="71"/>
      <c r="HL44" s="71"/>
      <c r="HM44" s="71"/>
      <c r="HN44" s="71"/>
      <c r="HO44" s="71"/>
      <c r="HP44" s="71"/>
      <c r="HQ44" s="71"/>
      <c r="HR44" s="71"/>
      <c r="HS44" s="71"/>
      <c r="HT44" s="71"/>
      <c r="HU44" s="71"/>
      <c r="HV44" s="71"/>
      <c r="HW44" s="105"/>
      <c r="HX44" s="105"/>
      <c r="HY44" s="102"/>
      <c r="HZ44" s="71"/>
      <c r="IA44" s="71"/>
    </row>
    <row r="45" spans="1:235" s="26" customFormat="1">
      <c r="A45" s="71"/>
      <c r="B45" s="96"/>
      <c r="C45" s="71"/>
      <c r="D45" s="103"/>
      <c r="E45" s="71"/>
      <c r="F45" s="71"/>
      <c r="G45" s="71"/>
      <c r="H45" s="25"/>
      <c r="I45" s="71"/>
      <c r="J45" s="71"/>
      <c r="K45" s="71"/>
      <c r="L45" s="103"/>
      <c r="M45" s="71"/>
      <c r="N45" s="96"/>
      <c r="O45" s="114"/>
      <c r="P45" s="66"/>
      <c r="Q45" s="66"/>
      <c r="R45" s="71"/>
      <c r="S45" s="71"/>
      <c r="T45" s="71"/>
      <c r="U45" s="71"/>
      <c r="V45" s="71"/>
      <c r="W45" s="71"/>
      <c r="X45" s="71"/>
      <c r="Y45" s="71"/>
      <c r="Z45" s="71"/>
      <c r="AA45" s="71"/>
      <c r="AB45" s="71"/>
      <c r="AC45" s="71"/>
      <c r="AD45" s="71"/>
      <c r="AE45" s="71"/>
      <c r="AF45" s="79"/>
      <c r="AG45" s="71"/>
      <c r="AH45" s="71"/>
      <c r="AI45" s="71"/>
      <c r="AJ45" s="71"/>
      <c r="AK45" s="71"/>
      <c r="AL45" s="71"/>
      <c r="AM45" s="71"/>
      <c r="AN45" s="71"/>
      <c r="AO45" s="71"/>
      <c r="AP45" s="71"/>
      <c r="AQ45" s="71"/>
      <c r="AR45" s="71"/>
      <c r="AS45" s="71"/>
      <c r="AT45" s="71"/>
      <c r="AU45" s="71"/>
      <c r="AV45" s="71"/>
      <c r="AW45" s="71"/>
      <c r="AX45" s="118"/>
      <c r="AY45" s="71"/>
      <c r="AZ45" s="71"/>
      <c r="BA45" s="71"/>
      <c r="BB45" s="61"/>
      <c r="BC45" s="71"/>
      <c r="BD45" s="71"/>
      <c r="BE45" s="71"/>
      <c r="BF45" s="61"/>
      <c r="BG45" s="71"/>
      <c r="BH45" s="71"/>
      <c r="BI45" s="71"/>
      <c r="BJ45" s="61"/>
      <c r="BK45" s="71"/>
      <c r="BL45" s="71"/>
      <c r="BM45" s="61"/>
      <c r="BN45" s="80"/>
      <c r="BO45" s="105"/>
      <c r="BP45" s="126"/>
      <c r="BQ45" s="96"/>
      <c r="BR45" s="71"/>
      <c r="BS45" s="71"/>
      <c r="BT45" s="71"/>
      <c r="BU45" s="71"/>
      <c r="BV45" s="71"/>
      <c r="BW45" s="71"/>
      <c r="BX45" s="71"/>
      <c r="BY45" s="71"/>
      <c r="BZ45" s="71"/>
      <c r="CA45" s="71"/>
      <c r="CB45" s="71"/>
      <c r="CC45" s="71"/>
      <c r="CD45" s="71"/>
      <c r="CE45" s="71"/>
      <c r="CF45" s="71"/>
      <c r="CG45" s="71"/>
      <c r="CH45" s="71"/>
      <c r="CI45" s="115"/>
      <c r="CJ45" s="71"/>
      <c r="CK45" s="71"/>
      <c r="CL45" s="71"/>
      <c r="CM45" s="71"/>
      <c r="CN45" s="71"/>
      <c r="CO45" s="71"/>
      <c r="CP45" s="71"/>
      <c r="CQ45" s="71"/>
      <c r="CR45" s="71"/>
      <c r="CS45" s="71"/>
      <c r="CT45" s="71"/>
      <c r="CU45" s="71"/>
      <c r="CV45" s="71"/>
      <c r="CW45" s="71"/>
      <c r="CX45" s="71"/>
      <c r="CY45" s="71"/>
      <c r="CZ45" s="71"/>
      <c r="DA45" s="84"/>
      <c r="DB45" s="71"/>
      <c r="DC45" s="71"/>
      <c r="DD45" s="71"/>
      <c r="DE45" s="71"/>
      <c r="DF45" s="71"/>
      <c r="DG45" s="71"/>
      <c r="DH45" s="71"/>
      <c r="DI45" s="71"/>
      <c r="DJ45" s="71"/>
      <c r="DK45" s="71"/>
      <c r="DL45" s="71"/>
      <c r="DM45" s="71"/>
      <c r="DN45" s="71"/>
      <c r="DO45" s="71"/>
      <c r="DP45" s="61"/>
      <c r="DQ45" s="80"/>
      <c r="DR45" s="105"/>
      <c r="DS45" s="126"/>
      <c r="DT45" s="96"/>
      <c r="DU45" s="71"/>
      <c r="DV45" s="71"/>
      <c r="DW45" s="71"/>
      <c r="DX45" s="71"/>
      <c r="DY45" s="71"/>
      <c r="DZ45" s="71"/>
      <c r="EA45" s="71"/>
      <c r="EB45" s="71"/>
      <c r="EC45" s="71"/>
      <c r="ED45" s="71"/>
      <c r="EE45" s="71"/>
      <c r="EF45" s="71"/>
      <c r="EG45" s="71"/>
      <c r="EH45" s="71"/>
      <c r="EI45" s="71"/>
      <c r="EJ45" s="71"/>
      <c r="EK45" s="71"/>
      <c r="EL45" s="115"/>
      <c r="EM45" s="71"/>
      <c r="EN45" s="71"/>
      <c r="EO45" s="71"/>
      <c r="EP45" s="71"/>
      <c r="EQ45" s="71"/>
      <c r="ER45" s="71"/>
      <c r="ES45" s="71"/>
      <c r="ET45" s="71"/>
      <c r="EU45" s="71"/>
      <c r="EV45" s="71"/>
      <c r="EW45" s="71"/>
      <c r="EX45" s="71"/>
      <c r="EY45" s="71"/>
      <c r="EZ45" s="71"/>
      <c r="FA45" s="71"/>
      <c r="FB45" s="71"/>
      <c r="FC45" s="71"/>
      <c r="FD45" s="125"/>
      <c r="FE45" s="71"/>
      <c r="FF45" s="71"/>
      <c r="FG45" s="71"/>
      <c r="FH45" s="71"/>
      <c r="FI45" s="71"/>
      <c r="FJ45" s="71"/>
      <c r="FK45" s="71"/>
      <c r="FL45" s="71"/>
      <c r="FM45" s="71"/>
      <c r="FN45" s="71"/>
      <c r="FO45" s="71"/>
      <c r="FP45" s="71"/>
      <c r="FQ45" s="71"/>
      <c r="FR45" s="71"/>
      <c r="FS45" s="71"/>
      <c r="FT45" s="105"/>
      <c r="FU45" s="105"/>
      <c r="FV45" s="126"/>
      <c r="FW45" s="96"/>
      <c r="FX45" s="71"/>
      <c r="FY45" s="71"/>
      <c r="FZ45" s="71"/>
      <c r="GA45" s="71"/>
      <c r="GB45" s="71"/>
      <c r="GC45" s="71"/>
      <c r="GD45" s="71"/>
      <c r="GE45" s="71"/>
      <c r="GF45" s="71"/>
      <c r="GG45" s="71"/>
      <c r="GH45" s="71"/>
      <c r="GI45" s="71"/>
      <c r="GJ45" s="71"/>
      <c r="GK45" s="71"/>
      <c r="GL45" s="71"/>
      <c r="GM45" s="71"/>
      <c r="GN45" s="71"/>
      <c r="GO45" s="115"/>
      <c r="GP45" s="71"/>
      <c r="GQ45" s="71"/>
      <c r="GR45" s="71"/>
      <c r="GS45" s="71"/>
      <c r="GT45" s="71"/>
      <c r="GU45" s="71"/>
      <c r="GV45" s="71"/>
      <c r="GW45" s="71"/>
      <c r="GX45" s="71"/>
      <c r="GY45" s="71"/>
      <c r="GZ45" s="71"/>
      <c r="HA45" s="71"/>
      <c r="HB45" s="71"/>
      <c r="HC45" s="71"/>
      <c r="HD45" s="71"/>
      <c r="HE45" s="71"/>
      <c r="HF45" s="71"/>
      <c r="HG45" s="128"/>
      <c r="HH45" s="71"/>
      <c r="HI45" s="71"/>
      <c r="HJ45" s="71"/>
      <c r="HK45" s="71"/>
      <c r="HL45" s="71"/>
      <c r="HM45" s="71"/>
      <c r="HN45" s="71"/>
      <c r="HO45" s="71"/>
      <c r="HP45" s="71"/>
      <c r="HQ45" s="71"/>
      <c r="HR45" s="71"/>
      <c r="HS45" s="71"/>
      <c r="HT45" s="71"/>
      <c r="HU45" s="71"/>
      <c r="HV45" s="71"/>
      <c r="HW45" s="105"/>
      <c r="HX45" s="105"/>
      <c r="HY45" s="102"/>
      <c r="HZ45" s="71"/>
      <c r="IA45" s="71"/>
    </row>
    <row r="46" spans="1:235" s="26" customFormat="1">
      <c r="A46" s="71"/>
      <c r="B46" s="96"/>
      <c r="C46" s="71"/>
      <c r="D46" s="103"/>
      <c r="E46" s="71"/>
      <c r="F46" s="71"/>
      <c r="G46" s="71"/>
      <c r="H46" s="71"/>
      <c r="I46" s="71"/>
      <c r="J46" s="71"/>
      <c r="K46" s="71"/>
      <c r="L46" s="103"/>
      <c r="M46" s="71"/>
      <c r="N46" s="96"/>
      <c r="O46" s="114"/>
      <c r="P46" s="66"/>
      <c r="Q46" s="66"/>
      <c r="R46" s="71"/>
      <c r="S46" s="71"/>
      <c r="T46" s="71"/>
      <c r="U46" s="71"/>
      <c r="V46" s="71"/>
      <c r="W46" s="71"/>
      <c r="X46" s="71"/>
      <c r="Y46" s="71"/>
      <c r="Z46" s="71"/>
      <c r="AA46" s="71"/>
      <c r="AB46" s="71"/>
      <c r="AC46" s="71"/>
      <c r="AD46" s="71"/>
      <c r="AE46" s="71"/>
      <c r="AF46" s="79"/>
      <c r="AG46" s="71"/>
      <c r="AH46" s="71"/>
      <c r="AI46" s="71"/>
      <c r="AJ46" s="71"/>
      <c r="AK46" s="71"/>
      <c r="AL46" s="71"/>
      <c r="AM46" s="71"/>
      <c r="AN46" s="71"/>
      <c r="AO46" s="71"/>
      <c r="AP46" s="71"/>
      <c r="AQ46" s="71"/>
      <c r="AR46" s="71"/>
      <c r="AS46" s="71"/>
      <c r="AT46" s="71"/>
      <c r="AU46" s="71"/>
      <c r="AV46" s="71"/>
      <c r="AW46" s="71"/>
      <c r="AX46" s="118"/>
      <c r="AY46" s="71"/>
      <c r="AZ46" s="71"/>
      <c r="BA46" s="71"/>
      <c r="BB46" s="61"/>
      <c r="BC46" s="71"/>
      <c r="BD46" s="71"/>
      <c r="BE46" s="71"/>
      <c r="BF46" s="61"/>
      <c r="BG46" s="71"/>
      <c r="BH46" s="71"/>
      <c r="BI46" s="71"/>
      <c r="BJ46" s="61"/>
      <c r="BK46" s="71"/>
      <c r="BL46" s="71"/>
      <c r="BM46" s="61"/>
      <c r="BN46" s="80"/>
      <c r="BO46" s="124"/>
      <c r="BP46" s="102"/>
      <c r="BQ46" s="96"/>
      <c r="BR46" s="71"/>
      <c r="BS46" s="71"/>
      <c r="BT46" s="71"/>
      <c r="BU46" s="71"/>
      <c r="BV46" s="71"/>
      <c r="BW46" s="71"/>
      <c r="BX46" s="71"/>
      <c r="BY46" s="71"/>
      <c r="BZ46" s="71"/>
      <c r="CA46" s="71"/>
      <c r="CB46" s="71"/>
      <c r="CC46" s="71"/>
      <c r="CD46" s="71"/>
      <c r="CE46" s="71"/>
      <c r="CF46" s="71"/>
      <c r="CG46" s="71"/>
      <c r="CH46" s="71"/>
      <c r="CI46" s="115"/>
      <c r="CJ46" s="71"/>
      <c r="CK46" s="71"/>
      <c r="CL46" s="71"/>
      <c r="CM46" s="71"/>
      <c r="CN46" s="71"/>
      <c r="CO46" s="71"/>
      <c r="CP46" s="71"/>
      <c r="CQ46" s="71"/>
      <c r="CR46" s="71"/>
      <c r="CS46" s="71"/>
      <c r="CT46" s="71"/>
      <c r="CU46" s="71"/>
      <c r="CV46" s="71"/>
      <c r="CW46" s="71"/>
      <c r="CX46" s="71"/>
      <c r="CY46" s="71"/>
      <c r="CZ46" s="71"/>
      <c r="DA46" s="125"/>
      <c r="DB46" s="71"/>
      <c r="DC46" s="71"/>
      <c r="DD46" s="71"/>
      <c r="DE46" s="71"/>
      <c r="DF46" s="71"/>
      <c r="DG46" s="71"/>
      <c r="DH46" s="71"/>
      <c r="DI46" s="71"/>
      <c r="DJ46" s="71"/>
      <c r="DK46" s="71"/>
      <c r="DL46" s="71"/>
      <c r="DM46" s="71"/>
      <c r="DN46" s="71"/>
      <c r="DO46" s="71"/>
      <c r="DP46" s="61"/>
      <c r="DQ46" s="80"/>
      <c r="DR46" s="105"/>
      <c r="DS46" s="126"/>
      <c r="DT46" s="96"/>
      <c r="DU46" s="71"/>
      <c r="DV46" s="71"/>
      <c r="DW46" s="71"/>
      <c r="DX46" s="71"/>
      <c r="DY46" s="71"/>
      <c r="DZ46" s="71"/>
      <c r="EA46" s="71"/>
      <c r="EB46" s="71"/>
      <c r="EC46" s="71"/>
      <c r="ED46" s="71"/>
      <c r="EE46" s="71"/>
      <c r="EF46" s="71"/>
      <c r="EG46" s="71"/>
      <c r="EH46" s="71"/>
      <c r="EI46" s="71"/>
      <c r="EJ46" s="71"/>
      <c r="EK46" s="71"/>
      <c r="EL46" s="115"/>
      <c r="EM46" s="71"/>
      <c r="EN46" s="71"/>
      <c r="EO46" s="71"/>
      <c r="EP46" s="71"/>
      <c r="EQ46" s="71"/>
      <c r="ER46" s="71"/>
      <c r="ES46" s="71"/>
      <c r="ET46" s="71"/>
      <c r="EU46" s="71"/>
      <c r="EV46" s="71"/>
      <c r="EW46" s="71"/>
      <c r="EX46" s="71"/>
      <c r="EY46" s="71"/>
      <c r="EZ46" s="71"/>
      <c r="FA46" s="71"/>
      <c r="FB46" s="71"/>
      <c r="FC46" s="71"/>
      <c r="FD46" s="125"/>
      <c r="FE46" s="71"/>
      <c r="FF46" s="71"/>
      <c r="FG46" s="71"/>
      <c r="FH46" s="71"/>
      <c r="FI46" s="71"/>
      <c r="FJ46" s="71"/>
      <c r="FK46" s="71"/>
      <c r="FL46" s="71"/>
      <c r="FM46" s="71"/>
      <c r="FN46" s="71"/>
      <c r="FO46" s="71"/>
      <c r="FP46" s="71"/>
      <c r="FQ46" s="71"/>
      <c r="FR46" s="71"/>
      <c r="FS46" s="71"/>
      <c r="FT46" s="105"/>
      <c r="FU46" s="105"/>
      <c r="FV46" s="126"/>
      <c r="FW46" s="96"/>
      <c r="FX46" s="71"/>
      <c r="FY46" s="71"/>
      <c r="FZ46" s="71"/>
      <c r="GA46" s="71"/>
      <c r="GB46" s="71"/>
      <c r="GC46" s="71"/>
      <c r="GD46" s="71"/>
      <c r="GE46" s="71"/>
      <c r="GF46" s="71"/>
      <c r="GG46" s="71"/>
      <c r="GH46" s="71"/>
      <c r="GI46" s="71"/>
      <c r="GJ46" s="71"/>
      <c r="GK46" s="71"/>
      <c r="GL46" s="71"/>
      <c r="GM46" s="71"/>
      <c r="GN46" s="71"/>
      <c r="GO46" s="115"/>
      <c r="GP46" s="71"/>
      <c r="GQ46" s="71"/>
      <c r="GR46" s="71"/>
      <c r="GS46" s="71"/>
      <c r="GT46" s="71"/>
      <c r="GU46" s="71"/>
      <c r="GV46" s="71"/>
      <c r="GW46" s="71"/>
      <c r="GX46" s="71"/>
      <c r="GY46" s="71"/>
      <c r="GZ46" s="71"/>
      <c r="HA46" s="71"/>
      <c r="HB46" s="71"/>
      <c r="HC46" s="71"/>
      <c r="HD46" s="71"/>
      <c r="HE46" s="71"/>
      <c r="HF46" s="71"/>
      <c r="HG46" s="128"/>
      <c r="HH46" s="71"/>
      <c r="HI46" s="71"/>
      <c r="HJ46" s="71"/>
      <c r="HK46" s="71"/>
      <c r="HL46" s="71"/>
      <c r="HM46" s="71"/>
      <c r="HN46" s="71"/>
      <c r="HO46" s="71"/>
      <c r="HP46" s="71"/>
      <c r="HQ46" s="71"/>
      <c r="HR46" s="71"/>
      <c r="HS46" s="71"/>
      <c r="HT46" s="71"/>
      <c r="HU46" s="71"/>
      <c r="HV46" s="71"/>
      <c r="HW46" s="105"/>
      <c r="HX46" s="105"/>
      <c r="HY46" s="102"/>
      <c r="HZ46" s="71"/>
      <c r="IA46" s="71"/>
    </row>
    <row r="47" spans="1:235" s="26" customFormat="1">
      <c r="A47" s="71"/>
      <c r="B47" s="96"/>
      <c r="C47" s="71"/>
      <c r="D47" s="103"/>
      <c r="E47" s="71"/>
      <c r="F47" s="71"/>
      <c r="G47" s="71"/>
      <c r="H47" s="71"/>
      <c r="I47" s="71"/>
      <c r="J47" s="71"/>
      <c r="K47" s="71"/>
      <c r="L47" s="103"/>
      <c r="M47" s="71"/>
      <c r="N47" s="96"/>
      <c r="O47" s="114"/>
      <c r="P47" s="66"/>
      <c r="Q47" s="66"/>
      <c r="R47" s="71"/>
      <c r="S47" s="71"/>
      <c r="T47" s="71"/>
      <c r="U47" s="71"/>
      <c r="V47" s="71"/>
      <c r="W47" s="71"/>
      <c r="X47" s="71"/>
      <c r="Y47" s="71"/>
      <c r="Z47" s="71"/>
      <c r="AA47" s="71"/>
      <c r="AB47" s="71"/>
      <c r="AC47" s="71"/>
      <c r="AD47" s="71"/>
      <c r="AE47" s="71"/>
      <c r="AF47" s="115"/>
      <c r="AG47" s="71"/>
      <c r="AH47" s="71"/>
      <c r="AI47" s="71"/>
      <c r="AJ47" s="71"/>
      <c r="AK47" s="71"/>
      <c r="AL47" s="71"/>
      <c r="AM47" s="71"/>
      <c r="AN47" s="71"/>
      <c r="AO47" s="71"/>
      <c r="AP47" s="71"/>
      <c r="AQ47" s="71"/>
      <c r="AR47" s="71"/>
      <c r="AS47" s="71"/>
      <c r="AT47" s="71"/>
      <c r="AU47" s="71"/>
      <c r="AV47" s="71"/>
      <c r="AW47" s="71"/>
      <c r="AX47" s="118"/>
      <c r="AY47" s="71"/>
      <c r="AZ47" s="71"/>
      <c r="BA47" s="71"/>
      <c r="BB47" s="61"/>
      <c r="BC47" s="71"/>
      <c r="BD47" s="71"/>
      <c r="BE47" s="71"/>
      <c r="BF47" s="61"/>
      <c r="BG47" s="71"/>
      <c r="BH47" s="71"/>
      <c r="BI47" s="71"/>
      <c r="BJ47" s="61"/>
      <c r="BK47" s="71"/>
      <c r="BL47" s="71"/>
      <c r="BM47" s="61"/>
      <c r="BN47" s="80"/>
      <c r="BO47" s="124"/>
      <c r="BP47" s="102"/>
      <c r="BQ47" s="96"/>
      <c r="BR47" s="71"/>
      <c r="BS47" s="71"/>
      <c r="BT47" s="71"/>
      <c r="BU47" s="71"/>
      <c r="BV47" s="71"/>
      <c r="BW47" s="71"/>
      <c r="BX47" s="71"/>
      <c r="BY47" s="71"/>
      <c r="BZ47" s="71"/>
      <c r="CA47" s="71"/>
      <c r="CB47" s="71"/>
      <c r="CC47" s="71"/>
      <c r="CD47" s="71"/>
      <c r="CE47" s="71"/>
      <c r="CF47" s="71"/>
      <c r="CG47" s="71"/>
      <c r="CH47" s="71"/>
      <c r="CI47" s="115"/>
      <c r="CJ47" s="71"/>
      <c r="CK47" s="71"/>
      <c r="CL47" s="71"/>
      <c r="CM47" s="71"/>
      <c r="CN47" s="71"/>
      <c r="CO47" s="71"/>
      <c r="CP47" s="71"/>
      <c r="CQ47" s="71"/>
      <c r="CR47" s="71"/>
      <c r="CS47" s="71"/>
      <c r="CT47" s="71"/>
      <c r="CU47" s="71"/>
      <c r="CV47" s="71"/>
      <c r="CW47" s="71"/>
      <c r="CX47" s="71"/>
      <c r="CY47" s="71"/>
      <c r="CZ47" s="71"/>
      <c r="DA47" s="125"/>
      <c r="DB47" s="71"/>
      <c r="DC47" s="71"/>
      <c r="DD47" s="71"/>
      <c r="DE47" s="71"/>
      <c r="DF47" s="71"/>
      <c r="DG47" s="71"/>
      <c r="DH47" s="71"/>
      <c r="DI47" s="71"/>
      <c r="DJ47" s="71"/>
      <c r="DK47" s="71"/>
      <c r="DL47" s="71"/>
      <c r="DM47" s="71"/>
      <c r="DN47" s="71"/>
      <c r="DO47" s="71"/>
      <c r="DP47" s="61"/>
      <c r="DQ47" s="80"/>
      <c r="DR47" s="105"/>
      <c r="DS47" s="126"/>
      <c r="DT47" s="96"/>
      <c r="DU47" s="71"/>
      <c r="DV47" s="71"/>
      <c r="DW47" s="71"/>
      <c r="DX47" s="71"/>
      <c r="DY47" s="71"/>
      <c r="DZ47" s="71"/>
      <c r="EA47" s="71"/>
      <c r="EB47" s="71"/>
      <c r="EC47" s="71"/>
      <c r="ED47" s="71"/>
      <c r="EE47" s="71"/>
      <c r="EF47" s="71"/>
      <c r="EG47" s="71"/>
      <c r="EH47" s="71"/>
      <c r="EI47" s="71"/>
      <c r="EJ47" s="71"/>
      <c r="EK47" s="71"/>
      <c r="EL47" s="115"/>
      <c r="EM47" s="71"/>
      <c r="EN47" s="71"/>
      <c r="EO47" s="71"/>
      <c r="EP47" s="71"/>
      <c r="EQ47" s="71"/>
      <c r="ER47" s="71"/>
      <c r="ES47" s="71"/>
      <c r="ET47" s="71"/>
      <c r="EU47" s="71"/>
      <c r="EV47" s="71"/>
      <c r="EW47" s="71"/>
      <c r="EX47" s="71"/>
      <c r="EY47" s="71"/>
      <c r="EZ47" s="71"/>
      <c r="FA47" s="71"/>
      <c r="FB47" s="71"/>
      <c r="FC47" s="71"/>
      <c r="FD47" s="125"/>
      <c r="FE47" s="71"/>
      <c r="FF47" s="71"/>
      <c r="FG47" s="71"/>
      <c r="FH47" s="71"/>
      <c r="FI47" s="71"/>
      <c r="FJ47" s="71"/>
      <c r="FK47" s="71"/>
      <c r="FL47" s="71"/>
      <c r="FM47" s="71"/>
      <c r="FN47" s="71"/>
      <c r="FO47" s="71"/>
      <c r="FP47" s="71"/>
      <c r="FQ47" s="71"/>
      <c r="FR47" s="71"/>
      <c r="FS47" s="71"/>
      <c r="FT47" s="105"/>
      <c r="FU47" s="105"/>
      <c r="FV47" s="126"/>
      <c r="FW47" s="96"/>
      <c r="FX47" s="71"/>
      <c r="FY47" s="71"/>
      <c r="FZ47" s="71"/>
      <c r="GA47" s="71"/>
      <c r="GB47" s="71"/>
      <c r="GC47" s="71"/>
      <c r="GD47" s="71"/>
      <c r="GE47" s="71"/>
      <c r="GF47" s="71"/>
      <c r="GG47" s="71"/>
      <c r="GH47" s="71"/>
      <c r="GI47" s="71"/>
      <c r="GJ47" s="71"/>
      <c r="GK47" s="71"/>
      <c r="GL47" s="71"/>
      <c r="GM47" s="71"/>
      <c r="GN47" s="71"/>
      <c r="GO47" s="115"/>
      <c r="GP47" s="71"/>
      <c r="GQ47" s="71"/>
      <c r="GR47" s="71"/>
      <c r="GS47" s="71"/>
      <c r="GT47" s="71"/>
      <c r="GU47" s="71"/>
      <c r="GV47" s="71"/>
      <c r="GW47" s="71"/>
      <c r="GX47" s="71"/>
      <c r="GY47" s="71"/>
      <c r="GZ47" s="71"/>
      <c r="HA47" s="71"/>
      <c r="HB47" s="71"/>
      <c r="HC47" s="71"/>
      <c r="HD47" s="71"/>
      <c r="HE47" s="71"/>
      <c r="HF47" s="71"/>
      <c r="HG47" s="128"/>
      <c r="HH47" s="71"/>
      <c r="HI47" s="71"/>
      <c r="HJ47" s="71"/>
      <c r="HK47" s="71"/>
      <c r="HL47" s="71"/>
      <c r="HM47" s="71"/>
      <c r="HN47" s="71"/>
      <c r="HO47" s="71"/>
      <c r="HP47" s="71"/>
      <c r="HQ47" s="71"/>
      <c r="HR47" s="71"/>
      <c r="HS47" s="71"/>
      <c r="HT47" s="71"/>
      <c r="HU47" s="71"/>
      <c r="HV47" s="71"/>
      <c r="HW47" s="105"/>
      <c r="HX47" s="105"/>
      <c r="HY47" s="102"/>
      <c r="HZ47" s="71"/>
      <c r="IA47" s="71"/>
    </row>
    <row r="48" spans="1:235" s="26" customFormat="1">
      <c r="A48" s="71"/>
      <c r="B48" s="96"/>
      <c r="C48" s="71"/>
      <c r="D48" s="103"/>
      <c r="E48" s="71"/>
      <c r="F48" s="71"/>
      <c r="G48" s="71"/>
      <c r="H48" s="71"/>
      <c r="I48" s="71"/>
      <c r="J48" s="71"/>
      <c r="K48" s="71"/>
      <c r="L48" s="103"/>
      <c r="M48" s="71"/>
      <c r="N48" s="96"/>
      <c r="O48" s="114"/>
      <c r="P48" s="71"/>
      <c r="Q48" s="66"/>
      <c r="R48" s="71"/>
      <c r="S48" s="71"/>
      <c r="T48" s="71"/>
      <c r="U48" s="71"/>
      <c r="V48" s="71"/>
      <c r="W48" s="71"/>
      <c r="X48" s="71"/>
      <c r="Y48" s="71"/>
      <c r="Z48" s="71"/>
      <c r="AA48" s="71"/>
      <c r="AB48" s="71"/>
      <c r="AC48" s="71"/>
      <c r="AD48" s="71"/>
      <c r="AE48" s="71"/>
      <c r="AF48" s="115"/>
      <c r="AG48" s="71"/>
      <c r="AH48" s="71"/>
      <c r="AI48" s="71"/>
      <c r="AJ48" s="71"/>
      <c r="AK48" s="71"/>
      <c r="AL48" s="71"/>
      <c r="AM48" s="71"/>
      <c r="AN48" s="71"/>
      <c r="AO48" s="71"/>
      <c r="AP48" s="71"/>
      <c r="AQ48" s="71"/>
      <c r="AR48" s="71"/>
      <c r="AS48" s="71"/>
      <c r="AT48" s="71"/>
      <c r="AU48" s="71"/>
      <c r="AV48" s="71"/>
      <c r="AW48" s="71"/>
      <c r="AX48" s="118"/>
      <c r="AY48" s="71"/>
      <c r="AZ48" s="71"/>
      <c r="BA48" s="71"/>
      <c r="BB48" s="61"/>
      <c r="BC48" s="71"/>
      <c r="BD48" s="71"/>
      <c r="BE48" s="71"/>
      <c r="BF48" s="61"/>
      <c r="BG48" s="71"/>
      <c r="BH48" s="71"/>
      <c r="BI48" s="71"/>
      <c r="BJ48" s="61"/>
      <c r="BK48" s="71"/>
      <c r="BL48" s="71"/>
      <c r="BM48" s="61"/>
      <c r="BN48" s="80"/>
      <c r="BO48" s="105"/>
      <c r="BP48" s="126"/>
      <c r="BQ48" s="96"/>
      <c r="BR48" s="71"/>
      <c r="BS48" s="71"/>
      <c r="BT48" s="71"/>
      <c r="BU48" s="71"/>
      <c r="BV48" s="71"/>
      <c r="BW48" s="71"/>
      <c r="BX48" s="71"/>
      <c r="BY48" s="71"/>
      <c r="BZ48" s="71"/>
      <c r="CA48" s="71"/>
      <c r="CB48" s="71"/>
      <c r="CC48" s="71"/>
      <c r="CD48" s="71"/>
      <c r="CE48" s="71"/>
      <c r="CF48" s="71"/>
      <c r="CG48" s="71"/>
      <c r="CH48" s="71"/>
      <c r="CI48" s="115"/>
      <c r="CJ48" s="71"/>
      <c r="CK48" s="71"/>
      <c r="CL48" s="71"/>
      <c r="CM48" s="71"/>
      <c r="CN48" s="71"/>
      <c r="CO48" s="71"/>
      <c r="CP48" s="71"/>
      <c r="CQ48" s="71"/>
      <c r="CR48" s="71"/>
      <c r="CS48" s="71"/>
      <c r="CT48" s="71"/>
      <c r="CU48" s="71"/>
      <c r="CV48" s="71"/>
      <c r="CW48" s="71"/>
      <c r="CX48" s="71"/>
      <c r="CY48" s="71"/>
      <c r="CZ48" s="71"/>
      <c r="DA48" s="125"/>
      <c r="DB48" s="71"/>
      <c r="DC48" s="71"/>
      <c r="DD48" s="71"/>
      <c r="DE48" s="71"/>
      <c r="DF48" s="71"/>
      <c r="DG48" s="71"/>
      <c r="DH48" s="71"/>
      <c r="DI48" s="71"/>
      <c r="DJ48" s="71"/>
      <c r="DK48" s="71"/>
      <c r="DL48" s="71"/>
      <c r="DM48" s="71"/>
      <c r="DN48" s="71"/>
      <c r="DO48" s="71"/>
      <c r="DP48" s="61"/>
      <c r="DQ48" s="80"/>
      <c r="DR48" s="105"/>
      <c r="DS48" s="126"/>
      <c r="DT48" s="96"/>
      <c r="DU48" s="71"/>
      <c r="DV48" s="71"/>
      <c r="DW48" s="71"/>
      <c r="DX48" s="71"/>
      <c r="DY48" s="71"/>
      <c r="DZ48" s="71"/>
      <c r="EA48" s="71"/>
      <c r="EB48" s="71"/>
      <c r="EC48" s="71"/>
      <c r="ED48" s="71"/>
      <c r="EE48" s="71"/>
      <c r="EF48" s="71"/>
      <c r="EG48" s="71"/>
      <c r="EH48" s="71"/>
      <c r="EI48" s="71"/>
      <c r="EJ48" s="71"/>
      <c r="EK48" s="71"/>
      <c r="EL48" s="115"/>
      <c r="EM48" s="71"/>
      <c r="EN48" s="71"/>
      <c r="EO48" s="71"/>
      <c r="EP48" s="71"/>
      <c r="EQ48" s="71"/>
      <c r="ER48" s="71"/>
      <c r="ES48" s="71"/>
      <c r="ET48" s="71"/>
      <c r="EU48" s="71"/>
      <c r="EV48" s="71"/>
      <c r="EW48" s="71"/>
      <c r="EX48" s="71"/>
      <c r="EY48" s="71"/>
      <c r="EZ48" s="71"/>
      <c r="FA48" s="71"/>
      <c r="FB48" s="71"/>
      <c r="FC48" s="71"/>
      <c r="FD48" s="125"/>
      <c r="FE48" s="71"/>
      <c r="FF48" s="71"/>
      <c r="FG48" s="71"/>
      <c r="FH48" s="71"/>
      <c r="FI48" s="71"/>
      <c r="FJ48" s="71"/>
      <c r="FK48" s="71"/>
      <c r="FL48" s="71"/>
      <c r="FM48" s="71"/>
      <c r="FN48" s="71"/>
      <c r="FO48" s="71"/>
      <c r="FP48" s="71"/>
      <c r="FQ48" s="71"/>
      <c r="FR48" s="71"/>
      <c r="FS48" s="71"/>
      <c r="FT48" s="105"/>
      <c r="FU48" s="105"/>
      <c r="FV48" s="126"/>
      <c r="FW48" s="96"/>
      <c r="FX48" s="71"/>
      <c r="FY48" s="71"/>
      <c r="FZ48" s="71"/>
      <c r="GA48" s="71"/>
      <c r="GB48" s="71"/>
      <c r="GC48" s="71"/>
      <c r="GD48" s="71"/>
      <c r="GE48" s="71"/>
      <c r="GF48" s="71"/>
      <c r="GG48" s="71"/>
      <c r="GH48" s="71"/>
      <c r="GI48" s="71"/>
      <c r="GJ48" s="71"/>
      <c r="GK48" s="71"/>
      <c r="GL48" s="71"/>
      <c r="GM48" s="71"/>
      <c r="GN48" s="71"/>
      <c r="GO48" s="115"/>
      <c r="GP48" s="71"/>
      <c r="GQ48" s="71"/>
      <c r="GR48" s="71"/>
      <c r="GS48" s="71"/>
      <c r="GT48" s="71"/>
      <c r="GU48" s="71"/>
      <c r="GV48" s="71"/>
      <c r="GW48" s="71"/>
      <c r="GX48" s="71"/>
      <c r="GY48" s="71"/>
      <c r="GZ48" s="71"/>
      <c r="HA48" s="71"/>
      <c r="HB48" s="71"/>
      <c r="HC48" s="71"/>
      <c r="HD48" s="71"/>
      <c r="HE48" s="71"/>
      <c r="HF48" s="71"/>
      <c r="HG48" s="128"/>
      <c r="HH48" s="71"/>
      <c r="HI48" s="71"/>
      <c r="HJ48" s="71"/>
      <c r="HK48" s="71"/>
      <c r="HL48" s="71"/>
      <c r="HM48" s="71"/>
      <c r="HN48" s="71"/>
      <c r="HO48" s="71"/>
      <c r="HP48" s="71"/>
      <c r="HQ48" s="71"/>
      <c r="HR48" s="71"/>
      <c r="HS48" s="71"/>
      <c r="HT48" s="71"/>
      <c r="HU48" s="71"/>
      <c r="HV48" s="71"/>
      <c r="HW48" s="105"/>
      <c r="HX48" s="105"/>
      <c r="HY48" s="102"/>
      <c r="HZ48" s="71"/>
      <c r="IA48" s="71"/>
    </row>
    <row r="49" spans="1:233" s="26" customFormat="1">
      <c r="B49" s="99"/>
      <c r="D49" s="104"/>
      <c r="L49" s="104"/>
      <c r="N49" s="99"/>
      <c r="AF49" s="100"/>
      <c r="AX49" s="118"/>
      <c r="AY49" s="71"/>
      <c r="AZ49" s="71"/>
      <c r="BA49" s="71"/>
      <c r="BB49" s="61"/>
      <c r="BC49" s="71"/>
      <c r="BD49" s="71"/>
      <c r="BE49" s="71"/>
      <c r="BF49" s="61"/>
      <c r="BG49" s="71"/>
      <c r="BH49" s="71"/>
      <c r="BI49" s="71"/>
      <c r="BJ49" s="61"/>
      <c r="BK49" s="71"/>
      <c r="BL49" s="71"/>
      <c r="BM49" s="61"/>
      <c r="BN49" s="80"/>
      <c r="BO49" s="97"/>
      <c r="BP49" s="98"/>
      <c r="BQ49" s="99"/>
      <c r="CI49" s="100"/>
      <c r="DA49" s="101"/>
      <c r="DB49" s="71"/>
      <c r="DC49" s="71"/>
      <c r="DD49" s="71"/>
      <c r="DE49" s="71"/>
      <c r="DF49" s="71"/>
      <c r="DG49" s="71"/>
      <c r="DH49" s="71"/>
      <c r="DI49" s="71"/>
      <c r="DJ49" s="71"/>
      <c r="DK49" s="71"/>
      <c r="DL49" s="71"/>
      <c r="DM49" s="71"/>
      <c r="DN49" s="71"/>
      <c r="DO49" s="71"/>
      <c r="DP49" s="61"/>
      <c r="DQ49" s="80"/>
      <c r="DR49" s="97"/>
      <c r="DS49" s="98"/>
      <c r="DT49" s="99"/>
      <c r="EL49" s="100"/>
      <c r="FD49" s="101"/>
      <c r="FT49" s="97"/>
      <c r="FU49" s="97"/>
      <c r="FV49" s="98"/>
      <c r="FW49" s="99"/>
      <c r="GO49" s="100"/>
      <c r="HG49" s="122"/>
      <c r="HW49" s="97"/>
      <c r="HX49" s="97"/>
      <c r="HY49" s="102"/>
    </row>
    <row r="50" spans="1:233" s="26" customFormat="1">
      <c r="B50" s="99"/>
      <c r="D50" s="104"/>
      <c r="L50" s="104"/>
      <c r="N50" s="99"/>
      <c r="AF50" s="100"/>
      <c r="AX50" s="118"/>
      <c r="AY50" s="71"/>
      <c r="AZ50" s="71"/>
      <c r="BA50" s="71"/>
      <c r="BB50" s="61"/>
      <c r="BC50" s="71"/>
      <c r="BD50" s="71"/>
      <c r="BE50" s="71"/>
      <c r="BF50" s="61"/>
      <c r="BG50" s="71"/>
      <c r="BH50" s="71"/>
      <c r="BI50" s="71"/>
      <c r="BJ50" s="71"/>
      <c r="BK50" s="71"/>
      <c r="BL50" s="71"/>
      <c r="BM50" s="61"/>
      <c r="BN50" s="105"/>
      <c r="BO50" s="97"/>
      <c r="BP50" s="98"/>
      <c r="BQ50" s="99"/>
      <c r="CI50" s="100"/>
      <c r="DA50" s="101"/>
      <c r="DB50" s="71"/>
      <c r="DC50" s="71"/>
      <c r="DD50" s="71"/>
      <c r="DE50" s="71"/>
      <c r="DF50" s="71"/>
      <c r="DG50" s="71"/>
      <c r="DH50" s="71"/>
      <c r="DI50" s="71"/>
      <c r="DJ50" s="71"/>
      <c r="DK50" s="71"/>
      <c r="DL50" s="71"/>
      <c r="DM50" s="71"/>
      <c r="DN50" s="71"/>
      <c r="DO50" s="71"/>
      <c r="DP50" s="61"/>
      <c r="DQ50" s="80"/>
      <c r="DR50" s="97"/>
      <c r="DS50" s="98"/>
      <c r="DT50" s="99"/>
      <c r="EL50" s="100"/>
      <c r="FD50" s="101"/>
      <c r="FT50" s="97"/>
      <c r="FU50" s="97"/>
      <c r="FV50" s="98"/>
      <c r="FW50" s="99"/>
      <c r="GO50" s="100"/>
      <c r="HG50" s="122"/>
      <c r="HW50" s="97"/>
      <c r="HX50" s="97"/>
      <c r="HY50" s="102"/>
    </row>
    <row r="51" spans="1:233" s="26" customFormat="1">
      <c r="B51" s="99"/>
      <c r="D51" s="104"/>
      <c r="L51" s="104"/>
      <c r="N51" s="99"/>
      <c r="AF51" s="100"/>
      <c r="AX51" s="118"/>
      <c r="AY51" s="71"/>
      <c r="AZ51" s="71"/>
      <c r="BA51" s="71"/>
      <c r="BB51" s="61"/>
      <c r="BC51" s="71"/>
      <c r="BD51" s="71"/>
      <c r="BE51" s="71"/>
      <c r="BF51" s="61"/>
      <c r="BG51" s="71"/>
      <c r="BH51" s="71"/>
      <c r="BI51" s="71"/>
      <c r="BJ51" s="71"/>
      <c r="BK51" s="71"/>
      <c r="BL51" s="71"/>
      <c r="BM51" s="71"/>
      <c r="BN51" s="105"/>
      <c r="BO51" s="97"/>
      <c r="BP51" s="98"/>
      <c r="BQ51" s="99"/>
      <c r="CI51" s="100"/>
      <c r="DA51" s="101"/>
      <c r="DB51" s="71"/>
      <c r="DC51" s="71"/>
      <c r="DD51" s="71"/>
      <c r="DE51" s="71"/>
      <c r="DF51" s="71"/>
      <c r="DG51" s="71"/>
      <c r="DH51" s="71"/>
      <c r="DI51" s="71"/>
      <c r="DJ51" s="71"/>
      <c r="DK51" s="71"/>
      <c r="DL51" s="71"/>
      <c r="DM51" s="71"/>
      <c r="DN51" s="71"/>
      <c r="DO51" s="71"/>
      <c r="DP51" s="61"/>
      <c r="DQ51" s="105"/>
      <c r="DR51" s="97"/>
      <c r="DS51" s="98"/>
      <c r="DT51" s="99"/>
      <c r="EL51" s="100"/>
      <c r="FD51" s="101"/>
      <c r="FT51" s="97"/>
      <c r="FU51" s="97"/>
      <c r="FV51" s="98"/>
      <c r="FW51" s="99"/>
      <c r="GO51" s="100"/>
      <c r="HG51" s="122"/>
      <c r="HW51" s="97"/>
      <c r="HX51" s="97"/>
      <c r="HY51" s="102"/>
    </row>
    <row r="52" spans="1:233" s="26" customFormat="1">
      <c r="B52" s="99"/>
      <c r="D52" s="106"/>
      <c r="L52" s="104"/>
      <c r="N52" s="99"/>
      <c r="O52" s="25"/>
      <c r="AF52" s="100"/>
      <c r="AX52" s="118"/>
      <c r="AY52" s="71"/>
      <c r="AZ52" s="71"/>
      <c r="BA52" s="71"/>
      <c r="BB52" s="61"/>
      <c r="BC52" s="71"/>
      <c r="BD52" s="71"/>
      <c r="BE52" s="71"/>
      <c r="BF52" s="61"/>
      <c r="BG52" s="71"/>
      <c r="BH52" s="71"/>
      <c r="BI52" s="71"/>
      <c r="BJ52" s="71"/>
      <c r="BK52" s="71"/>
      <c r="BL52" s="71"/>
      <c r="BM52" s="71"/>
      <c r="BN52" s="105"/>
      <c r="BO52" s="97"/>
      <c r="BP52" s="98"/>
      <c r="BQ52" s="99"/>
      <c r="CI52" s="100"/>
      <c r="DA52" s="101"/>
      <c r="DB52" s="71"/>
      <c r="DC52" s="71"/>
      <c r="DD52" s="71"/>
      <c r="DE52" s="71"/>
      <c r="DF52" s="71"/>
      <c r="DG52" s="71"/>
      <c r="DH52" s="71"/>
      <c r="DI52" s="71"/>
      <c r="DJ52" s="71"/>
      <c r="DK52" s="71"/>
      <c r="DL52" s="71"/>
      <c r="DM52" s="71"/>
      <c r="DN52" s="71"/>
      <c r="DO52" s="71"/>
      <c r="DP52" s="61"/>
      <c r="DQ52" s="105"/>
      <c r="DR52" s="97"/>
      <c r="DS52" s="98"/>
      <c r="DT52" s="99"/>
      <c r="EL52" s="100"/>
      <c r="FD52" s="101"/>
      <c r="FM52" s="71"/>
      <c r="FN52" s="71"/>
      <c r="FO52" s="71"/>
      <c r="FP52" s="71"/>
      <c r="FQ52" s="71"/>
      <c r="FR52" s="71"/>
      <c r="FS52" s="71"/>
      <c r="FT52" s="105"/>
      <c r="FU52" s="97"/>
      <c r="FV52" s="98"/>
      <c r="FW52" s="99"/>
      <c r="GO52" s="100"/>
      <c r="HG52" s="122"/>
      <c r="HW52" s="97"/>
      <c r="HX52" s="97"/>
      <c r="HY52" s="102"/>
    </row>
    <row r="53" spans="1:233" s="26" customFormat="1">
      <c r="B53" s="99"/>
      <c r="D53" s="106"/>
      <c r="L53" s="104"/>
      <c r="N53" s="99"/>
      <c r="AF53" s="100"/>
      <c r="AX53" s="118"/>
      <c r="AY53" s="71"/>
      <c r="AZ53" s="71"/>
      <c r="BA53" s="71"/>
      <c r="BB53" s="71"/>
      <c r="BC53" s="71"/>
      <c r="BD53" s="71"/>
      <c r="BE53" s="71"/>
      <c r="BF53" s="61"/>
      <c r="BG53" s="71"/>
      <c r="BH53" s="71"/>
      <c r="BI53" s="71"/>
      <c r="BJ53" s="71"/>
      <c r="BK53" s="71"/>
      <c r="BL53" s="71"/>
      <c r="BM53" s="71"/>
      <c r="BN53" s="105"/>
      <c r="BO53" s="97"/>
      <c r="BP53" s="98"/>
      <c r="BQ53" s="99"/>
      <c r="CI53" s="100"/>
      <c r="DA53" s="101"/>
      <c r="DB53" s="71"/>
      <c r="DC53" s="71"/>
      <c r="DD53" s="71"/>
      <c r="DE53" s="71"/>
      <c r="DF53" s="71"/>
      <c r="DG53" s="71"/>
      <c r="DH53" s="71"/>
      <c r="DI53" s="71"/>
      <c r="DJ53" s="71"/>
      <c r="DK53" s="71"/>
      <c r="DL53" s="71"/>
      <c r="DM53" s="71"/>
      <c r="DN53" s="71"/>
      <c r="DO53" s="71"/>
      <c r="DP53" s="61"/>
      <c r="DQ53" s="105"/>
      <c r="DR53" s="97"/>
      <c r="DS53" s="98"/>
      <c r="DT53" s="99"/>
      <c r="EL53" s="100"/>
      <c r="FD53" s="101"/>
      <c r="FM53" s="71"/>
      <c r="FN53" s="71"/>
      <c r="FO53" s="71"/>
      <c r="FP53" s="71"/>
      <c r="FQ53" s="71"/>
      <c r="FR53" s="71"/>
      <c r="FS53" s="71"/>
      <c r="FT53" s="105"/>
      <c r="FU53" s="97"/>
      <c r="FV53" s="98"/>
      <c r="FW53" s="99"/>
      <c r="GO53" s="100"/>
      <c r="HG53" s="122"/>
      <c r="HW53" s="97"/>
      <c r="HX53" s="97"/>
      <c r="HY53" s="102"/>
    </row>
    <row r="54" spans="1:233" s="26" customFormat="1">
      <c r="B54" s="99"/>
      <c r="D54" s="106"/>
      <c r="L54" s="104"/>
      <c r="N54" s="99"/>
      <c r="AF54" s="100"/>
      <c r="AX54" s="118"/>
      <c r="AY54" s="71"/>
      <c r="AZ54" s="71"/>
      <c r="BA54" s="71"/>
      <c r="BB54" s="71"/>
      <c r="BC54" s="71"/>
      <c r="BD54" s="71"/>
      <c r="BE54" s="71"/>
      <c r="BF54" s="61"/>
      <c r="BG54" s="71"/>
      <c r="BH54" s="71"/>
      <c r="BI54" s="71"/>
      <c r="BJ54" s="71"/>
      <c r="BK54" s="71"/>
      <c r="BL54" s="71"/>
      <c r="BM54" s="71"/>
      <c r="BN54" s="105"/>
      <c r="BO54" s="97"/>
      <c r="BP54" s="98"/>
      <c r="BQ54" s="99"/>
      <c r="CI54" s="100"/>
      <c r="DA54" s="101"/>
      <c r="DB54" s="71"/>
      <c r="DC54" s="71"/>
      <c r="DD54" s="71"/>
      <c r="DE54" s="71"/>
      <c r="DF54" s="71"/>
      <c r="DG54" s="71"/>
      <c r="DH54" s="71"/>
      <c r="DI54" s="71"/>
      <c r="DJ54" s="71"/>
      <c r="DK54" s="71"/>
      <c r="DL54" s="71"/>
      <c r="DM54" s="71"/>
      <c r="DN54" s="71"/>
      <c r="DO54" s="71"/>
      <c r="DP54" s="61"/>
      <c r="DQ54" s="105"/>
      <c r="DR54" s="97"/>
      <c r="DS54" s="98"/>
      <c r="DT54" s="99"/>
      <c r="EL54" s="100"/>
      <c r="FD54" s="101"/>
      <c r="FM54" s="71"/>
      <c r="FN54" s="71"/>
      <c r="FO54" s="71"/>
      <c r="FP54" s="71"/>
      <c r="FQ54" s="71"/>
      <c r="FR54" s="71"/>
      <c r="FS54" s="71"/>
      <c r="FT54" s="105"/>
      <c r="FU54" s="97"/>
      <c r="FV54" s="98"/>
      <c r="FW54" s="99"/>
      <c r="GO54" s="100"/>
      <c r="HG54" s="122"/>
      <c r="HW54" s="97"/>
      <c r="HX54" s="97"/>
      <c r="HY54" s="102"/>
    </row>
    <row r="55" spans="1:233" s="26" customFormat="1">
      <c r="B55" s="99"/>
      <c r="D55" s="106"/>
      <c r="L55" s="104"/>
      <c r="N55" s="99"/>
      <c r="AF55" s="100"/>
      <c r="AX55" s="118"/>
      <c r="AY55" s="71"/>
      <c r="AZ55" s="71"/>
      <c r="BA55" s="71"/>
      <c r="BB55" s="71"/>
      <c r="BC55" s="71"/>
      <c r="BD55" s="71"/>
      <c r="BE55" s="71"/>
      <c r="BF55" s="61"/>
      <c r="BG55" s="71"/>
      <c r="BH55" s="71"/>
      <c r="BI55" s="71"/>
      <c r="BJ55" s="71"/>
      <c r="BK55" s="71"/>
      <c r="BL55" s="71"/>
      <c r="BM55" s="71"/>
      <c r="BN55" s="105"/>
      <c r="BO55" s="97"/>
      <c r="BP55" s="98"/>
      <c r="BQ55" s="99"/>
      <c r="CI55" s="100"/>
      <c r="DA55" s="101"/>
      <c r="DB55" s="71"/>
      <c r="DC55" s="71"/>
      <c r="DD55" s="71"/>
      <c r="DE55" s="71"/>
      <c r="DF55" s="71"/>
      <c r="DG55" s="71"/>
      <c r="DH55" s="71"/>
      <c r="DI55" s="71"/>
      <c r="DJ55" s="71"/>
      <c r="DK55" s="71"/>
      <c r="DL55" s="71"/>
      <c r="DM55" s="71"/>
      <c r="DN55" s="71"/>
      <c r="DO55" s="71"/>
      <c r="DP55" s="61"/>
      <c r="DQ55" s="105"/>
      <c r="DR55" s="97"/>
      <c r="DS55" s="98"/>
      <c r="DT55" s="99"/>
      <c r="EL55" s="100"/>
      <c r="FD55" s="101"/>
      <c r="FM55" s="71"/>
      <c r="FN55" s="71"/>
      <c r="FO55" s="71"/>
      <c r="FP55" s="71"/>
      <c r="FQ55" s="71"/>
      <c r="FR55" s="71"/>
      <c r="FS55" s="71"/>
      <c r="FT55" s="105"/>
      <c r="FU55" s="97"/>
      <c r="FV55" s="98"/>
      <c r="FW55" s="99"/>
      <c r="GO55" s="100"/>
      <c r="HG55" s="122"/>
      <c r="HW55" s="97"/>
      <c r="HX55" s="97"/>
      <c r="HY55" s="102"/>
    </row>
    <row r="56" spans="1:233" s="26" customFormat="1">
      <c r="B56" s="99"/>
      <c r="D56" s="106"/>
      <c r="L56" s="104"/>
      <c r="N56" s="99"/>
      <c r="AF56" s="100"/>
      <c r="AX56" s="118"/>
      <c r="AY56" s="71"/>
      <c r="AZ56" s="71"/>
      <c r="BA56" s="71"/>
      <c r="BB56" s="71"/>
      <c r="BC56" s="71"/>
      <c r="BD56" s="71"/>
      <c r="BE56" s="71"/>
      <c r="BF56" s="71"/>
      <c r="BG56" s="71"/>
      <c r="BH56" s="71"/>
      <c r="BI56" s="71"/>
      <c r="BJ56" s="71"/>
      <c r="BK56" s="71"/>
      <c r="BL56" s="71"/>
      <c r="BM56" s="71"/>
      <c r="BN56" s="105"/>
      <c r="BO56" s="97"/>
      <c r="BP56" s="98"/>
      <c r="BQ56" s="99"/>
      <c r="CI56" s="100"/>
      <c r="DA56" s="101"/>
      <c r="DB56" s="71"/>
      <c r="DC56" s="71"/>
      <c r="DD56" s="71"/>
      <c r="DE56" s="71"/>
      <c r="DF56" s="71"/>
      <c r="DG56" s="71"/>
      <c r="DH56" s="71"/>
      <c r="DI56" s="71"/>
      <c r="DJ56" s="71"/>
      <c r="DK56" s="71"/>
      <c r="DL56" s="71"/>
      <c r="DM56" s="71"/>
      <c r="DN56" s="71"/>
      <c r="DO56" s="71"/>
      <c r="DP56" s="61"/>
      <c r="DQ56" s="105"/>
      <c r="DR56" s="97"/>
      <c r="DS56" s="98"/>
      <c r="DT56" s="99"/>
      <c r="EL56" s="100"/>
      <c r="FD56" s="101"/>
      <c r="FM56" s="71"/>
      <c r="FN56" s="71"/>
      <c r="FO56" s="71"/>
      <c r="FP56" s="71"/>
      <c r="FQ56" s="71"/>
      <c r="FR56" s="71"/>
      <c r="FS56" s="71"/>
      <c r="FT56" s="105"/>
      <c r="FU56" s="97"/>
      <c r="FV56" s="98"/>
      <c r="FW56" s="99"/>
      <c r="GO56" s="100"/>
      <c r="HG56" s="122"/>
      <c r="HW56" s="97"/>
      <c r="HX56" s="97"/>
      <c r="HY56" s="102"/>
    </row>
    <row r="57" spans="1:233" s="26" customFormat="1">
      <c r="B57" s="99"/>
      <c r="D57" s="106"/>
      <c r="L57" s="104"/>
      <c r="N57" s="99"/>
      <c r="AF57" s="100"/>
      <c r="AX57" s="118"/>
      <c r="AY57" s="71"/>
      <c r="AZ57" s="71"/>
      <c r="BA57" s="71"/>
      <c r="BB57" s="71"/>
      <c r="BC57" s="71"/>
      <c r="BD57" s="71"/>
      <c r="BE57" s="71"/>
      <c r="BF57" s="71"/>
      <c r="BG57" s="71"/>
      <c r="BH57" s="71"/>
      <c r="BI57" s="71"/>
      <c r="BJ57" s="71"/>
      <c r="BK57" s="71"/>
      <c r="BL57" s="71"/>
      <c r="BM57" s="71"/>
      <c r="BN57" s="105"/>
      <c r="BO57" s="97"/>
      <c r="BP57" s="98"/>
      <c r="BQ57" s="99"/>
      <c r="CI57" s="100"/>
      <c r="DA57" s="101"/>
      <c r="DB57" s="71"/>
      <c r="DC57" s="71"/>
      <c r="DD57" s="71"/>
      <c r="DE57" s="71"/>
      <c r="DF57" s="71"/>
      <c r="DG57" s="71"/>
      <c r="DH57" s="71"/>
      <c r="DI57" s="71"/>
      <c r="DJ57" s="71"/>
      <c r="DK57" s="71"/>
      <c r="DL57" s="71"/>
      <c r="DM57" s="71"/>
      <c r="DN57" s="71"/>
      <c r="DO57" s="71"/>
      <c r="DP57" s="71"/>
      <c r="DQ57" s="105"/>
      <c r="DR57" s="97"/>
      <c r="DS57" s="98"/>
      <c r="DT57" s="99"/>
      <c r="EL57" s="100"/>
      <c r="FD57" s="101"/>
      <c r="FM57" s="71"/>
      <c r="FN57" s="71"/>
      <c r="FO57" s="71"/>
      <c r="FP57" s="71"/>
      <c r="FQ57" s="71"/>
      <c r="FR57" s="71"/>
      <c r="FS57" s="71"/>
      <c r="FT57" s="105"/>
      <c r="FU57" s="97"/>
      <c r="FV57" s="98"/>
      <c r="FW57" s="99"/>
      <c r="GO57" s="100"/>
      <c r="HG57" s="122"/>
      <c r="HW57" s="97"/>
      <c r="HX57" s="97"/>
      <c r="HY57" s="102"/>
    </row>
    <row r="58" spans="1:233" s="26" customFormat="1">
      <c r="B58" s="99"/>
      <c r="D58" s="104"/>
      <c r="L58" s="104"/>
      <c r="N58" s="99"/>
      <c r="AF58" s="100"/>
      <c r="AX58" s="118"/>
      <c r="AY58" s="71"/>
      <c r="AZ58" s="71"/>
      <c r="BA58" s="71"/>
      <c r="BB58" s="71"/>
      <c r="BC58" s="71"/>
      <c r="BD58" s="71"/>
      <c r="BE58" s="71"/>
      <c r="BF58" s="71"/>
      <c r="BG58" s="71"/>
      <c r="BH58" s="71"/>
      <c r="BI58" s="71"/>
      <c r="BJ58" s="71"/>
      <c r="BK58" s="71"/>
      <c r="BL58" s="71"/>
      <c r="BM58" s="71"/>
      <c r="BN58" s="105"/>
      <c r="BO58" s="97"/>
      <c r="BP58" s="98"/>
      <c r="BQ58" s="99"/>
      <c r="CI58" s="100"/>
      <c r="DA58" s="101"/>
      <c r="DB58" s="71"/>
      <c r="DC58" s="71"/>
      <c r="DD58" s="71"/>
      <c r="DE58" s="71"/>
      <c r="DF58" s="71"/>
      <c r="DG58" s="71"/>
      <c r="DH58" s="71"/>
      <c r="DI58" s="71"/>
      <c r="DJ58" s="71"/>
      <c r="DK58" s="71"/>
      <c r="DL58" s="71"/>
      <c r="DM58" s="71"/>
      <c r="DN58" s="71"/>
      <c r="DO58" s="71"/>
      <c r="DP58" s="71"/>
      <c r="DQ58" s="105"/>
      <c r="DR58" s="97"/>
      <c r="DS58" s="98"/>
      <c r="DT58" s="99"/>
      <c r="EL58" s="100"/>
      <c r="FD58" s="101"/>
      <c r="FM58" s="71"/>
      <c r="FN58" s="71"/>
      <c r="FO58" s="71"/>
      <c r="FP58" s="71"/>
      <c r="FQ58" s="71"/>
      <c r="FR58" s="71"/>
      <c r="FS58" s="71"/>
      <c r="FT58" s="105"/>
      <c r="FU58" s="97"/>
      <c r="FV58" s="98"/>
      <c r="FW58" s="99"/>
      <c r="GO58" s="100"/>
      <c r="HG58" s="122"/>
      <c r="HW58" s="97"/>
      <c r="HX58" s="97"/>
      <c r="HY58" s="102"/>
    </row>
    <row r="59" spans="1:233" s="26" customFormat="1">
      <c r="B59" s="99"/>
      <c r="D59" s="104"/>
      <c r="L59" s="104"/>
      <c r="N59" s="99"/>
      <c r="AF59" s="100"/>
      <c r="AX59" s="118"/>
      <c r="AY59" s="71"/>
      <c r="AZ59" s="71"/>
      <c r="BA59" s="71"/>
      <c r="BB59" s="71"/>
      <c r="BC59" s="71"/>
      <c r="BD59" s="71"/>
      <c r="BE59" s="71"/>
      <c r="BF59" s="71"/>
      <c r="BG59" s="71"/>
      <c r="BH59" s="71"/>
      <c r="BI59" s="71"/>
      <c r="BJ59" s="71"/>
      <c r="BK59" s="71"/>
      <c r="BL59" s="71"/>
      <c r="BM59" s="71"/>
      <c r="BN59" s="105"/>
      <c r="BO59" s="97"/>
      <c r="BP59" s="98"/>
      <c r="BQ59" s="99"/>
      <c r="CI59" s="100"/>
      <c r="DA59" s="101"/>
      <c r="DB59" s="71"/>
      <c r="DC59" s="71"/>
      <c r="DD59" s="71"/>
      <c r="DE59" s="71"/>
      <c r="DF59" s="71"/>
      <c r="DG59" s="71"/>
      <c r="DH59" s="71"/>
      <c r="DI59" s="71"/>
      <c r="DJ59" s="71"/>
      <c r="DK59" s="71"/>
      <c r="DL59" s="71"/>
      <c r="DM59" s="71"/>
      <c r="DN59" s="71"/>
      <c r="DO59" s="71"/>
      <c r="DP59" s="71"/>
      <c r="DQ59" s="105"/>
      <c r="DR59" s="97"/>
      <c r="DS59" s="98"/>
      <c r="DT59" s="99"/>
      <c r="EL59" s="100"/>
      <c r="FD59" s="101"/>
      <c r="FM59" s="71"/>
      <c r="FN59" s="71"/>
      <c r="FO59" s="71"/>
      <c r="FP59" s="71"/>
      <c r="FQ59" s="71"/>
      <c r="FR59" s="71"/>
      <c r="FS59" s="71"/>
      <c r="FT59" s="105"/>
      <c r="FU59" s="97"/>
      <c r="FV59" s="98"/>
      <c r="FW59" s="99"/>
      <c r="GO59" s="100"/>
      <c r="HG59" s="122"/>
      <c r="HW59" s="97"/>
      <c r="HX59" s="97"/>
      <c r="HY59" s="102"/>
    </row>
    <row r="60" spans="1:233" s="26" customFormat="1">
      <c r="B60" s="99"/>
      <c r="D60" s="104"/>
      <c r="L60" s="104"/>
      <c r="N60" s="99"/>
      <c r="AF60" s="100"/>
      <c r="AX60" s="118"/>
      <c r="AY60" s="71"/>
      <c r="AZ60" s="71"/>
      <c r="BA60" s="71"/>
      <c r="BB60" s="71"/>
      <c r="BC60" s="71"/>
      <c r="BD60" s="71"/>
      <c r="BE60" s="71"/>
      <c r="BF60" s="71"/>
      <c r="BG60" s="71"/>
      <c r="BH60" s="71"/>
      <c r="BI60" s="71"/>
      <c r="BJ60" s="71"/>
      <c r="BK60" s="71"/>
      <c r="BL60" s="71"/>
      <c r="BM60" s="71"/>
      <c r="BN60" s="105"/>
      <c r="BO60" s="97"/>
      <c r="BP60" s="98"/>
      <c r="BQ60" s="99"/>
      <c r="CI60" s="100"/>
      <c r="DA60" s="101"/>
      <c r="DB60" s="71"/>
      <c r="DC60" s="71"/>
      <c r="DD60" s="71"/>
      <c r="DE60" s="71"/>
      <c r="DF60" s="71"/>
      <c r="DG60" s="71"/>
      <c r="DH60" s="71"/>
      <c r="DI60" s="71"/>
      <c r="DJ60" s="71"/>
      <c r="DK60" s="71"/>
      <c r="DL60" s="71"/>
      <c r="DM60" s="71"/>
      <c r="DN60" s="71"/>
      <c r="DO60" s="71"/>
      <c r="DP60" s="71"/>
      <c r="DQ60" s="105"/>
      <c r="DR60" s="97"/>
      <c r="DS60" s="98"/>
      <c r="DT60" s="99"/>
      <c r="EL60" s="100"/>
      <c r="FD60" s="101"/>
      <c r="FM60" s="71"/>
      <c r="FN60" s="71"/>
      <c r="FO60" s="71"/>
      <c r="FP60" s="71"/>
      <c r="FQ60" s="71"/>
      <c r="FR60" s="71"/>
      <c r="FS60" s="71"/>
      <c r="FT60" s="105"/>
      <c r="FU60" s="97"/>
      <c r="FV60" s="98"/>
      <c r="FW60" s="99"/>
      <c r="GO60" s="100"/>
      <c r="HG60" s="122"/>
      <c r="HW60" s="97"/>
      <c r="HX60" s="97"/>
      <c r="HY60" s="102"/>
    </row>
    <row r="61" spans="1:233" s="26" customFormat="1">
      <c r="B61" s="99"/>
      <c r="D61" s="104"/>
      <c r="L61" s="104"/>
      <c r="N61" s="99"/>
      <c r="AF61" s="100"/>
      <c r="AX61" s="118"/>
      <c r="AY61" s="71"/>
      <c r="AZ61" s="71"/>
      <c r="BA61" s="71"/>
      <c r="BB61" s="71"/>
      <c r="BC61" s="71"/>
      <c r="BD61" s="71"/>
      <c r="BE61" s="71"/>
      <c r="BF61" s="71"/>
      <c r="BG61" s="71"/>
      <c r="BH61" s="71"/>
      <c r="BI61" s="71"/>
      <c r="BJ61" s="71"/>
      <c r="BK61" s="71"/>
      <c r="BL61" s="71"/>
      <c r="BM61" s="71"/>
      <c r="BN61" s="105"/>
      <c r="BO61" s="97"/>
      <c r="BP61" s="98"/>
      <c r="BQ61" s="99"/>
      <c r="CI61" s="100"/>
      <c r="DA61" s="101"/>
      <c r="DB61" s="71"/>
      <c r="DC61" s="71"/>
      <c r="DD61" s="71"/>
      <c r="DE61" s="71"/>
      <c r="DF61" s="71"/>
      <c r="DG61" s="71"/>
      <c r="DH61" s="71"/>
      <c r="DI61" s="71"/>
      <c r="DJ61" s="71"/>
      <c r="DK61" s="71"/>
      <c r="DL61" s="71"/>
      <c r="DM61" s="71"/>
      <c r="DN61" s="71"/>
      <c r="DO61" s="71"/>
      <c r="DP61" s="71"/>
      <c r="DQ61" s="105"/>
      <c r="DR61" s="97"/>
      <c r="DS61" s="98"/>
      <c r="DT61" s="99"/>
      <c r="EL61" s="100"/>
      <c r="FD61" s="101"/>
      <c r="FM61" s="71"/>
      <c r="FN61" s="71"/>
      <c r="FO61" s="71"/>
      <c r="FP61" s="71"/>
      <c r="FQ61" s="71"/>
      <c r="FR61" s="71"/>
      <c r="FS61" s="71"/>
      <c r="FT61" s="105"/>
      <c r="FU61" s="97"/>
      <c r="FV61" s="98"/>
      <c r="FW61" s="99"/>
      <c r="GO61" s="100"/>
      <c r="HG61" s="122"/>
      <c r="HW61" s="97"/>
      <c r="HX61" s="97"/>
      <c r="HY61" s="102"/>
    </row>
    <row r="62" spans="1:233" s="26" customFormat="1">
      <c r="B62" s="99"/>
      <c r="D62" s="104"/>
      <c r="L62" s="104"/>
      <c r="N62" s="99"/>
      <c r="AF62" s="100"/>
      <c r="AX62" s="118"/>
      <c r="AY62" s="71"/>
      <c r="AZ62" s="71"/>
      <c r="BA62" s="71"/>
      <c r="BB62" s="71"/>
      <c r="BC62" s="71"/>
      <c r="BD62" s="71"/>
      <c r="BE62" s="71"/>
      <c r="BF62" s="71"/>
      <c r="BG62" s="71"/>
      <c r="BH62" s="71"/>
      <c r="BI62" s="71"/>
      <c r="BJ62" s="71"/>
      <c r="BK62" s="71"/>
      <c r="BL62" s="71"/>
      <c r="BM62" s="71"/>
      <c r="BN62" s="105"/>
      <c r="BO62" s="97"/>
      <c r="BP62" s="98"/>
      <c r="BQ62" s="99"/>
      <c r="CI62" s="100"/>
      <c r="DA62" s="101"/>
      <c r="DB62" s="71"/>
      <c r="DC62" s="71"/>
      <c r="DD62" s="71"/>
      <c r="DE62" s="71"/>
      <c r="DF62" s="71"/>
      <c r="DG62" s="71"/>
      <c r="DH62" s="71"/>
      <c r="DI62" s="71"/>
      <c r="DJ62" s="71"/>
      <c r="DK62" s="71"/>
      <c r="DL62" s="71"/>
      <c r="DM62" s="71"/>
      <c r="DN62" s="71"/>
      <c r="DO62" s="71"/>
      <c r="DP62" s="71"/>
      <c r="DQ62" s="105"/>
      <c r="DR62" s="97"/>
      <c r="DS62" s="98"/>
      <c r="DT62" s="99"/>
      <c r="EL62" s="100"/>
      <c r="FD62" s="101"/>
      <c r="FM62" s="71"/>
      <c r="FN62" s="71"/>
      <c r="FO62" s="71"/>
      <c r="FP62" s="71"/>
      <c r="FQ62" s="71"/>
      <c r="FR62" s="71"/>
      <c r="FS62" s="71"/>
      <c r="FT62" s="105"/>
      <c r="FU62" s="97"/>
      <c r="FV62" s="98"/>
      <c r="FW62" s="99"/>
      <c r="GO62" s="100"/>
      <c r="HG62" s="122"/>
      <c r="HW62" s="97"/>
      <c r="HX62" s="97"/>
      <c r="HY62" s="102"/>
    </row>
    <row r="63" spans="1:233" s="26" customFormat="1">
      <c r="B63" s="99"/>
      <c r="D63" s="104"/>
      <c r="L63" s="104"/>
      <c r="N63" s="99"/>
      <c r="AF63" s="100"/>
      <c r="AX63" s="118"/>
      <c r="AY63" s="71"/>
      <c r="AZ63" s="71"/>
      <c r="BA63" s="71"/>
      <c r="BB63" s="71"/>
      <c r="BC63" s="71"/>
      <c r="BD63" s="71"/>
      <c r="BE63" s="71"/>
      <c r="BF63" s="71"/>
      <c r="BG63" s="71"/>
      <c r="BH63" s="71"/>
      <c r="BI63" s="71"/>
      <c r="BJ63" s="71"/>
      <c r="BK63" s="71"/>
      <c r="BL63" s="71"/>
      <c r="BM63" s="71"/>
      <c r="BN63" s="105"/>
      <c r="BO63" s="97"/>
      <c r="BP63" s="98"/>
      <c r="BQ63" s="99"/>
      <c r="CI63" s="100"/>
      <c r="DA63" s="101"/>
      <c r="DB63" s="71"/>
      <c r="DC63" s="71"/>
      <c r="DD63" s="71"/>
      <c r="DE63" s="71"/>
      <c r="DF63" s="71"/>
      <c r="DG63" s="71"/>
      <c r="DH63" s="71"/>
      <c r="DI63" s="71"/>
      <c r="DJ63" s="71"/>
      <c r="DK63" s="71"/>
      <c r="DL63" s="71"/>
      <c r="DM63" s="71"/>
      <c r="DN63" s="71"/>
      <c r="DO63" s="71"/>
      <c r="DP63" s="71"/>
      <c r="DQ63" s="105"/>
      <c r="DR63" s="97"/>
      <c r="DS63" s="98"/>
      <c r="DT63" s="99"/>
      <c r="EL63" s="100"/>
      <c r="FD63" s="101"/>
      <c r="FM63" s="71"/>
      <c r="FN63" s="71"/>
      <c r="FO63" s="71"/>
      <c r="FP63" s="71"/>
      <c r="FQ63" s="71"/>
      <c r="FR63" s="71"/>
      <c r="FS63" s="71"/>
      <c r="FT63" s="105"/>
      <c r="FU63" s="97"/>
      <c r="FV63" s="98"/>
      <c r="FW63" s="99"/>
      <c r="GO63" s="100"/>
      <c r="HG63" s="122"/>
      <c r="HW63" s="97"/>
      <c r="HX63" s="97"/>
      <c r="HY63" s="102"/>
    </row>
    <row r="64" spans="1:233" s="26" customFormat="1">
      <c r="A64" s="71"/>
      <c r="B64" s="70"/>
      <c r="C64" s="25"/>
      <c r="D64" s="106"/>
      <c r="E64" s="25"/>
      <c r="F64" s="25"/>
      <c r="G64" s="25"/>
      <c r="H64" s="25"/>
      <c r="I64" s="25"/>
      <c r="J64" s="25"/>
      <c r="K64" s="25"/>
      <c r="L64" s="106"/>
      <c r="M64" s="25"/>
      <c r="N64" s="70"/>
      <c r="O64" s="25"/>
      <c r="P64" s="25"/>
      <c r="Q64" s="25"/>
      <c r="R64" s="25"/>
      <c r="S64" s="25"/>
      <c r="T64" s="25"/>
      <c r="U64" s="25"/>
      <c r="V64" s="25"/>
      <c r="W64" s="25"/>
      <c r="X64" s="25"/>
      <c r="Y64" s="25"/>
      <c r="Z64" s="25"/>
      <c r="AA64" s="25"/>
      <c r="AB64" s="25"/>
      <c r="AC64" s="25"/>
      <c r="AD64" s="25"/>
      <c r="AE64" s="25"/>
      <c r="AF64" s="79"/>
      <c r="AG64" s="25"/>
      <c r="AH64" s="25"/>
      <c r="AI64" s="25"/>
      <c r="AJ64" s="25"/>
      <c r="AK64" s="25"/>
      <c r="AL64" s="25"/>
      <c r="AM64" s="25"/>
      <c r="AN64" s="25"/>
      <c r="AO64" s="25"/>
      <c r="AP64" s="25"/>
      <c r="AQ64" s="25"/>
      <c r="AR64" s="25"/>
      <c r="AS64" s="25"/>
      <c r="AT64" s="25"/>
      <c r="AU64" s="25"/>
      <c r="AV64" s="25"/>
      <c r="AW64" s="25"/>
      <c r="AX64" s="118"/>
      <c r="AY64" s="71"/>
      <c r="AZ64" s="71"/>
      <c r="BA64" s="71"/>
      <c r="BB64" s="71"/>
      <c r="BC64" s="71"/>
      <c r="BD64" s="71"/>
      <c r="BE64" s="71"/>
      <c r="BF64" s="61"/>
      <c r="BG64" s="71"/>
      <c r="BH64" s="71"/>
      <c r="BI64" s="71"/>
      <c r="BJ64" s="71"/>
      <c r="BK64" s="71"/>
      <c r="BL64" s="71"/>
      <c r="BM64" s="61"/>
      <c r="BN64" s="105"/>
      <c r="BO64" s="124"/>
      <c r="BP64" s="102"/>
      <c r="BQ64" s="70"/>
      <c r="BR64" s="25"/>
      <c r="BS64" s="25"/>
      <c r="BT64" s="25"/>
      <c r="BU64" s="25"/>
      <c r="BV64" s="25"/>
      <c r="BW64" s="25"/>
      <c r="BX64" s="71"/>
      <c r="BY64" s="71"/>
      <c r="BZ64" s="71"/>
      <c r="CA64" s="71"/>
      <c r="CB64" s="71"/>
      <c r="CC64" s="71"/>
      <c r="CD64" s="71"/>
      <c r="CE64" s="71"/>
      <c r="CF64" s="71"/>
      <c r="CG64" s="71"/>
      <c r="CH64" s="71"/>
      <c r="CI64" s="115"/>
      <c r="CJ64" s="71"/>
      <c r="CK64" s="71"/>
      <c r="CL64" s="71"/>
      <c r="CM64" s="71"/>
      <c r="CN64" s="71"/>
      <c r="CO64" s="71"/>
      <c r="CP64" s="71"/>
      <c r="CQ64" s="71"/>
      <c r="CR64" s="71"/>
      <c r="CS64" s="71"/>
      <c r="CT64" s="71"/>
      <c r="CU64" s="71"/>
      <c r="CV64" s="71"/>
      <c r="CW64" s="71"/>
      <c r="CX64" s="71"/>
      <c r="CY64" s="71"/>
      <c r="CZ64" s="71"/>
      <c r="DA64" s="125"/>
      <c r="DB64" s="71"/>
      <c r="DC64" s="71"/>
      <c r="DD64" s="71"/>
      <c r="DE64" s="71"/>
      <c r="DF64" s="71"/>
      <c r="DG64" s="71"/>
      <c r="DH64" s="71"/>
      <c r="DI64" s="71"/>
      <c r="DJ64" s="71"/>
      <c r="DK64" s="71"/>
      <c r="DL64" s="71"/>
      <c r="DM64" s="71"/>
      <c r="DN64" s="71"/>
      <c r="DO64" s="71"/>
      <c r="DP64" s="71"/>
      <c r="DQ64" s="105"/>
      <c r="DR64" s="124"/>
      <c r="DS64" s="102"/>
      <c r="DT64" s="99"/>
      <c r="EL64" s="83"/>
      <c r="FD64" s="84"/>
      <c r="FE64" s="71"/>
      <c r="FF64" s="71"/>
      <c r="FG64" s="71"/>
      <c r="FH64" s="71"/>
      <c r="FI64" s="71"/>
      <c r="FJ64" s="71"/>
      <c r="FK64" s="71"/>
      <c r="FL64" s="61"/>
      <c r="FM64" s="71"/>
      <c r="FN64" s="71"/>
      <c r="FO64" s="71"/>
      <c r="FP64" s="61"/>
      <c r="FQ64" s="71"/>
      <c r="FR64" s="71"/>
      <c r="FS64" s="71"/>
      <c r="FT64" s="80"/>
      <c r="FU64" s="97"/>
      <c r="FV64" s="98"/>
      <c r="FW64" s="99"/>
      <c r="GO64" s="115"/>
      <c r="HG64" s="128"/>
      <c r="HO64" s="61"/>
      <c r="HS64" s="61"/>
      <c r="HW64" s="80"/>
      <c r="HX64" s="97"/>
      <c r="HY64" s="102"/>
    </row>
    <row r="65" spans="1:235" s="26" customFormat="1">
      <c r="A65" s="71"/>
      <c r="B65" s="70"/>
      <c r="C65" s="25"/>
      <c r="D65" s="106"/>
      <c r="E65" s="25"/>
      <c r="F65" s="25"/>
      <c r="G65" s="25"/>
      <c r="H65" s="25"/>
      <c r="I65" s="25"/>
      <c r="J65" s="25"/>
      <c r="K65" s="25"/>
      <c r="L65" s="106"/>
      <c r="M65" s="25"/>
      <c r="N65" s="70"/>
      <c r="O65" s="25"/>
      <c r="P65" s="25"/>
      <c r="Q65" s="25"/>
      <c r="R65" s="25"/>
      <c r="S65" s="25"/>
      <c r="T65" s="25"/>
      <c r="U65" s="25"/>
      <c r="V65" s="25"/>
      <c r="W65" s="25"/>
      <c r="X65" s="25"/>
      <c r="Y65" s="25"/>
      <c r="Z65" s="25"/>
      <c r="AA65" s="25"/>
      <c r="AB65" s="25"/>
      <c r="AC65" s="25"/>
      <c r="AD65" s="25"/>
      <c r="AE65" s="25"/>
      <c r="AF65" s="116"/>
      <c r="AG65" s="25"/>
      <c r="AH65" s="25"/>
      <c r="AI65" s="25"/>
      <c r="AJ65" s="25"/>
      <c r="AK65" s="25"/>
      <c r="AL65" s="25"/>
      <c r="AM65" s="25"/>
      <c r="AN65" s="25"/>
      <c r="AO65" s="25"/>
      <c r="AP65" s="25"/>
      <c r="AQ65" s="25"/>
      <c r="AR65" s="25"/>
      <c r="AS65" s="25"/>
      <c r="AT65" s="25"/>
      <c r="AU65" s="25"/>
      <c r="AV65" s="25"/>
      <c r="AW65" s="25"/>
      <c r="AX65" s="118"/>
      <c r="AY65" s="71"/>
      <c r="AZ65" s="71"/>
      <c r="BA65" s="71"/>
      <c r="BB65" s="71"/>
      <c r="BC65" s="71"/>
      <c r="BD65" s="71"/>
      <c r="BE65" s="71"/>
      <c r="BF65" s="71"/>
      <c r="BG65" s="71"/>
      <c r="BH65" s="71"/>
      <c r="BI65" s="71"/>
      <c r="BJ65" s="71"/>
      <c r="BK65" s="71"/>
      <c r="BL65" s="71"/>
      <c r="BM65" s="61"/>
      <c r="BN65" s="105"/>
      <c r="BO65" s="124"/>
      <c r="BP65" s="102"/>
      <c r="BQ65" s="70"/>
      <c r="BR65" s="25"/>
      <c r="BS65" s="25"/>
      <c r="BT65" s="25"/>
      <c r="BU65" s="25"/>
      <c r="BV65" s="25"/>
      <c r="BW65" s="25"/>
      <c r="BX65" s="71"/>
      <c r="BY65" s="71"/>
      <c r="BZ65" s="71"/>
      <c r="CA65" s="71"/>
      <c r="CB65" s="71"/>
      <c r="CC65" s="71"/>
      <c r="CD65" s="71"/>
      <c r="CE65" s="71"/>
      <c r="CF65" s="71"/>
      <c r="CG65" s="71"/>
      <c r="CH65" s="71"/>
      <c r="CI65" s="115"/>
      <c r="CJ65" s="71"/>
      <c r="CK65" s="71"/>
      <c r="CL65" s="71"/>
      <c r="CM65" s="71"/>
      <c r="CN65" s="71"/>
      <c r="CO65" s="71"/>
      <c r="CP65" s="71"/>
      <c r="CQ65" s="71"/>
      <c r="CR65" s="71"/>
      <c r="CS65" s="71"/>
      <c r="CT65" s="71"/>
      <c r="CU65" s="71"/>
      <c r="CV65" s="71"/>
      <c r="CW65" s="71"/>
      <c r="CX65" s="71"/>
      <c r="CY65" s="71"/>
      <c r="CZ65" s="71"/>
      <c r="DA65" s="125"/>
      <c r="DB65" s="71"/>
      <c r="DC65" s="71"/>
      <c r="DD65" s="71"/>
      <c r="DE65" s="71"/>
      <c r="DF65" s="71"/>
      <c r="DG65" s="71"/>
      <c r="DH65" s="71"/>
      <c r="DI65" s="71"/>
      <c r="DJ65" s="71"/>
      <c r="DK65" s="71"/>
      <c r="DL65" s="71"/>
      <c r="DM65" s="71"/>
      <c r="DN65" s="71"/>
      <c r="DO65" s="71"/>
      <c r="DP65" s="71"/>
      <c r="DQ65" s="105"/>
      <c r="DR65" s="124"/>
      <c r="DS65" s="102"/>
      <c r="DT65" s="99"/>
      <c r="EL65" s="83"/>
      <c r="FD65" s="84"/>
      <c r="FE65" s="71"/>
      <c r="FF65" s="71"/>
      <c r="FG65" s="71"/>
      <c r="FH65" s="71"/>
      <c r="FI65" s="71"/>
      <c r="FJ65" s="71"/>
      <c r="FK65" s="71"/>
      <c r="FL65" s="61"/>
      <c r="FM65" s="71"/>
      <c r="FN65" s="71"/>
      <c r="FO65" s="71"/>
      <c r="FP65" s="61"/>
      <c r="FQ65" s="71"/>
      <c r="FR65" s="71"/>
      <c r="FS65" s="71"/>
      <c r="FT65" s="105"/>
      <c r="FU65" s="97"/>
      <c r="FV65" s="98"/>
      <c r="FW65" s="99"/>
      <c r="GO65" s="115"/>
      <c r="HG65" s="128"/>
      <c r="HO65" s="61"/>
      <c r="HS65" s="61"/>
      <c r="HW65" s="97"/>
      <c r="HX65" s="97"/>
      <c r="HY65" s="102"/>
    </row>
    <row r="66" spans="1:235" s="26" customFormat="1">
      <c r="B66" s="99"/>
      <c r="D66" s="106"/>
      <c r="L66" s="104"/>
      <c r="N66" s="99"/>
      <c r="S66" s="25"/>
      <c r="T66" s="25"/>
      <c r="AF66" s="116"/>
      <c r="AX66" s="121"/>
      <c r="AY66" s="71"/>
      <c r="AZ66" s="71"/>
      <c r="BA66" s="71"/>
      <c r="BB66" s="71"/>
      <c r="BC66" s="71"/>
      <c r="BD66" s="71"/>
      <c r="BE66" s="71"/>
      <c r="BF66" s="71"/>
      <c r="BG66" s="71"/>
      <c r="BH66" s="71"/>
      <c r="BI66" s="71"/>
      <c r="BJ66" s="71"/>
      <c r="BK66" s="71"/>
      <c r="BL66" s="71"/>
      <c r="BM66" s="61"/>
      <c r="BN66" s="105"/>
      <c r="BO66" s="97"/>
      <c r="BP66" s="98"/>
      <c r="BQ66" s="99"/>
      <c r="CI66" s="100"/>
      <c r="DA66" s="125"/>
      <c r="DB66" s="71"/>
      <c r="DC66" s="71"/>
      <c r="DD66" s="71"/>
      <c r="DE66" s="71"/>
      <c r="DF66" s="71"/>
      <c r="DG66" s="71"/>
      <c r="DH66" s="71"/>
      <c r="DI66" s="71"/>
      <c r="DJ66" s="71"/>
      <c r="DK66" s="71"/>
      <c r="DL66" s="71"/>
      <c r="DM66" s="71"/>
      <c r="DN66" s="71"/>
      <c r="DO66" s="71"/>
      <c r="DP66" s="71"/>
      <c r="DQ66" s="105"/>
      <c r="DR66" s="97"/>
      <c r="DS66" s="98"/>
      <c r="DT66" s="99"/>
      <c r="EL66" s="83"/>
      <c r="FD66" s="84"/>
      <c r="FL66" s="61"/>
      <c r="FM66" s="71"/>
      <c r="FN66" s="71"/>
      <c r="FO66" s="71"/>
      <c r="FP66" s="61"/>
      <c r="FQ66" s="71"/>
      <c r="FR66" s="71"/>
      <c r="FS66" s="71"/>
      <c r="FT66" s="105"/>
      <c r="FU66" s="97"/>
      <c r="FV66" s="98"/>
      <c r="FW66" s="99"/>
      <c r="GO66" s="100"/>
      <c r="HG66" s="122"/>
      <c r="HS66" s="61"/>
      <c r="HW66" s="97"/>
      <c r="HX66" s="97"/>
      <c r="HY66" s="102"/>
    </row>
    <row r="67" spans="1:235" s="26" customFormat="1">
      <c r="B67" s="99"/>
      <c r="D67" s="106"/>
      <c r="L67" s="104"/>
      <c r="N67" s="99"/>
      <c r="S67" s="25"/>
      <c r="T67" s="25"/>
      <c r="AF67" s="116"/>
      <c r="AX67" s="121"/>
      <c r="AY67" s="71"/>
      <c r="AZ67" s="71"/>
      <c r="BA67" s="71"/>
      <c r="BB67" s="71"/>
      <c r="BC67" s="71"/>
      <c r="BD67" s="71"/>
      <c r="BE67" s="71"/>
      <c r="BF67" s="71"/>
      <c r="BG67" s="71"/>
      <c r="BH67" s="71"/>
      <c r="BI67" s="71"/>
      <c r="BJ67" s="71"/>
      <c r="BK67" s="71"/>
      <c r="BL67" s="71"/>
      <c r="BM67" s="61"/>
      <c r="BN67" s="105"/>
      <c r="BO67" s="97"/>
      <c r="BP67" s="98"/>
      <c r="BQ67" s="99"/>
      <c r="CI67" s="100"/>
      <c r="DA67" s="125"/>
      <c r="DB67" s="71"/>
      <c r="DC67" s="71"/>
      <c r="DD67" s="71"/>
      <c r="DE67" s="71"/>
      <c r="DF67" s="71"/>
      <c r="DG67" s="71"/>
      <c r="DH67" s="71"/>
      <c r="DI67" s="71"/>
      <c r="DJ67" s="71"/>
      <c r="DK67" s="71"/>
      <c r="DL67" s="71"/>
      <c r="DM67" s="71"/>
      <c r="DN67" s="71"/>
      <c r="DO67" s="71"/>
      <c r="DP67" s="71"/>
      <c r="DQ67" s="105"/>
      <c r="DR67" s="97"/>
      <c r="DS67" s="98"/>
      <c r="DT67" s="99"/>
      <c r="EL67" s="83"/>
      <c r="FD67" s="101"/>
      <c r="FL67" s="61"/>
      <c r="FM67" s="71"/>
      <c r="FN67" s="71"/>
      <c r="FO67" s="71"/>
      <c r="FP67" s="61"/>
      <c r="FQ67" s="71"/>
      <c r="FR67" s="71"/>
      <c r="FS67" s="71"/>
      <c r="FT67" s="105"/>
      <c r="FU67" s="97"/>
      <c r="FV67" s="98"/>
      <c r="FW67" s="99"/>
      <c r="GO67" s="100"/>
      <c r="HG67" s="122"/>
      <c r="HS67" s="61"/>
      <c r="HW67" s="97"/>
      <c r="HX67" s="97"/>
      <c r="HY67" s="102"/>
    </row>
    <row r="68" spans="1:235" s="26" customFormat="1">
      <c r="B68" s="99"/>
      <c r="D68" s="106"/>
      <c r="L68" s="104"/>
      <c r="N68" s="99"/>
      <c r="AF68" s="116"/>
      <c r="AX68" s="121"/>
      <c r="AY68" s="71"/>
      <c r="AZ68" s="71"/>
      <c r="BA68" s="71"/>
      <c r="BB68" s="71"/>
      <c r="BC68" s="71"/>
      <c r="BD68" s="71"/>
      <c r="BE68" s="71"/>
      <c r="BF68" s="71"/>
      <c r="BG68" s="71"/>
      <c r="BH68" s="71"/>
      <c r="BI68" s="71"/>
      <c r="BJ68" s="71"/>
      <c r="BK68" s="71"/>
      <c r="BL68" s="71"/>
      <c r="BM68" s="61"/>
      <c r="BN68" s="105"/>
      <c r="BO68" s="97"/>
      <c r="BP68" s="98"/>
      <c r="BQ68" s="99"/>
      <c r="CI68" s="100"/>
      <c r="DA68" s="125"/>
      <c r="DB68" s="71"/>
      <c r="DC68" s="71"/>
      <c r="DD68" s="71"/>
      <c r="DE68" s="71"/>
      <c r="DF68" s="71"/>
      <c r="DG68" s="71"/>
      <c r="DH68" s="71"/>
      <c r="DI68" s="71"/>
      <c r="DJ68" s="71"/>
      <c r="DK68" s="71"/>
      <c r="DL68" s="71"/>
      <c r="DM68" s="71"/>
      <c r="DN68" s="71"/>
      <c r="DO68" s="71"/>
      <c r="DP68" s="71"/>
      <c r="DQ68" s="105"/>
      <c r="DR68" s="97"/>
      <c r="DS68" s="98"/>
      <c r="DT68" s="99"/>
      <c r="EL68" s="83"/>
      <c r="FD68" s="101"/>
      <c r="FM68" s="71"/>
      <c r="FN68" s="71"/>
      <c r="FO68" s="71"/>
      <c r="FP68" s="61"/>
      <c r="FQ68" s="71"/>
      <c r="FR68" s="71"/>
      <c r="FS68" s="71"/>
      <c r="FT68" s="105"/>
      <c r="FU68" s="97"/>
      <c r="FV68" s="98"/>
      <c r="FW68" s="99"/>
      <c r="GO68" s="100"/>
      <c r="HG68" s="122"/>
      <c r="HS68" s="61"/>
      <c r="HW68" s="97"/>
      <c r="HX68" s="97"/>
      <c r="HY68" s="102"/>
    </row>
    <row r="69" spans="1:235" s="26" customFormat="1">
      <c r="A69" s="71"/>
      <c r="B69" s="70"/>
      <c r="C69" s="25"/>
      <c r="D69" s="106"/>
      <c r="E69" s="25"/>
      <c r="F69" s="71"/>
      <c r="G69" s="25"/>
      <c r="H69" s="25"/>
      <c r="I69" s="25"/>
      <c r="J69" s="25"/>
      <c r="K69" s="25"/>
      <c r="L69" s="106"/>
      <c r="M69" s="25"/>
      <c r="N69" s="70"/>
      <c r="O69" s="25"/>
      <c r="P69" s="25"/>
      <c r="Q69" s="25"/>
      <c r="R69" s="25"/>
      <c r="S69" s="25"/>
      <c r="T69" s="25"/>
      <c r="U69" s="71"/>
      <c r="V69" s="71"/>
      <c r="W69" s="71"/>
      <c r="X69" s="71"/>
      <c r="Y69" s="71"/>
      <c r="Z69" s="71"/>
      <c r="AA69" s="71"/>
      <c r="AB69" s="71"/>
      <c r="AC69" s="71"/>
      <c r="AD69" s="71"/>
      <c r="AE69" s="71"/>
      <c r="AF69" s="116"/>
      <c r="AG69" s="71"/>
      <c r="AH69" s="71"/>
      <c r="AI69" s="71"/>
      <c r="AJ69" s="71"/>
      <c r="AK69" s="71"/>
      <c r="AL69" s="71"/>
      <c r="AM69" s="71"/>
      <c r="AN69" s="71"/>
      <c r="AO69" s="71"/>
      <c r="AP69" s="71"/>
      <c r="AQ69" s="71"/>
      <c r="AR69" s="71"/>
      <c r="AS69" s="71"/>
      <c r="AT69" s="71"/>
      <c r="AU69" s="71"/>
      <c r="AV69" s="71"/>
      <c r="AW69" s="71"/>
      <c r="AX69" s="121"/>
      <c r="AY69" s="71"/>
      <c r="AZ69" s="71"/>
      <c r="BA69" s="71"/>
      <c r="BB69" s="71"/>
      <c r="BC69" s="71"/>
      <c r="BD69" s="71"/>
      <c r="BE69" s="71"/>
      <c r="BF69" s="71"/>
      <c r="BG69" s="71"/>
      <c r="BH69" s="71"/>
      <c r="BI69" s="71"/>
      <c r="BJ69" s="71"/>
      <c r="BK69" s="71"/>
      <c r="BL69" s="71"/>
      <c r="BM69" s="61"/>
      <c r="BN69" s="105"/>
      <c r="BO69" s="124"/>
      <c r="BP69" s="102"/>
      <c r="BQ69" s="70"/>
      <c r="CI69" s="115"/>
      <c r="CJ69" s="71"/>
      <c r="CK69" s="71"/>
      <c r="CL69" s="71"/>
      <c r="CM69" s="71"/>
      <c r="CN69" s="71"/>
      <c r="CO69" s="71"/>
      <c r="CP69" s="71"/>
      <c r="CQ69" s="71"/>
      <c r="CR69" s="71"/>
      <c r="CS69" s="71"/>
      <c r="CT69" s="71"/>
      <c r="CU69" s="71"/>
      <c r="CV69" s="71"/>
      <c r="CW69" s="71"/>
      <c r="CX69" s="71"/>
      <c r="CY69" s="71"/>
      <c r="CZ69" s="71"/>
      <c r="DA69" s="125"/>
      <c r="DB69" s="71"/>
      <c r="DC69" s="71"/>
      <c r="DD69" s="71"/>
      <c r="DE69" s="71"/>
      <c r="DF69" s="71"/>
      <c r="DG69" s="71"/>
      <c r="DH69" s="71"/>
      <c r="DI69" s="71"/>
      <c r="DJ69" s="71"/>
      <c r="DK69" s="71"/>
      <c r="DL69" s="71"/>
      <c r="DM69" s="71"/>
      <c r="DN69" s="71"/>
      <c r="DO69" s="71"/>
      <c r="DP69" s="71"/>
      <c r="DQ69" s="105"/>
      <c r="DR69" s="97"/>
      <c r="DS69" s="98"/>
      <c r="DT69" s="99"/>
      <c r="EL69" s="83"/>
      <c r="FD69" s="125"/>
      <c r="FE69" s="71"/>
      <c r="FF69" s="71"/>
      <c r="FG69" s="71"/>
      <c r="FH69" s="71"/>
      <c r="FI69" s="71"/>
      <c r="FJ69" s="71"/>
      <c r="FK69" s="71"/>
      <c r="FL69" s="71"/>
      <c r="FM69" s="71"/>
      <c r="FN69" s="71"/>
      <c r="FO69" s="71"/>
      <c r="FP69" s="61"/>
      <c r="FQ69" s="71"/>
      <c r="FR69" s="71"/>
      <c r="FS69" s="71"/>
      <c r="FT69" s="105"/>
      <c r="FU69" s="97"/>
      <c r="FV69" s="98"/>
      <c r="FW69" s="99"/>
      <c r="GO69" s="115"/>
      <c r="HG69" s="128"/>
      <c r="HS69" s="61"/>
      <c r="HW69" s="97"/>
      <c r="HX69" s="97"/>
      <c r="HY69" s="102"/>
    </row>
    <row r="70" spans="1:235" s="26" customFormat="1">
      <c r="A70" s="71"/>
      <c r="B70" s="70"/>
      <c r="C70" s="25"/>
      <c r="D70" s="106"/>
      <c r="E70" s="71"/>
      <c r="F70" s="71"/>
      <c r="G70" s="25"/>
      <c r="H70" s="71"/>
      <c r="I70" s="25"/>
      <c r="J70" s="71"/>
      <c r="K70" s="25"/>
      <c r="L70" s="106"/>
      <c r="M70" s="25"/>
      <c r="N70" s="96"/>
      <c r="O70" s="71"/>
      <c r="P70" s="71"/>
      <c r="Q70" s="71"/>
      <c r="R70" s="25"/>
      <c r="S70" s="25"/>
      <c r="T70" s="25"/>
      <c r="U70" s="71"/>
      <c r="V70" s="71"/>
      <c r="W70" s="71"/>
      <c r="X70" s="71"/>
      <c r="Y70" s="71"/>
      <c r="Z70" s="71"/>
      <c r="AA70" s="71"/>
      <c r="AB70" s="71"/>
      <c r="AC70" s="71"/>
      <c r="AD70" s="71"/>
      <c r="AE70" s="71"/>
      <c r="AF70" s="116"/>
      <c r="AG70" s="71"/>
      <c r="AH70" s="71"/>
      <c r="AI70" s="71"/>
      <c r="AJ70" s="71"/>
      <c r="AK70" s="71"/>
      <c r="AL70" s="71"/>
      <c r="AM70" s="71"/>
      <c r="AN70" s="71"/>
      <c r="AO70" s="71"/>
      <c r="AP70" s="71"/>
      <c r="AQ70" s="71"/>
      <c r="AR70" s="71"/>
      <c r="AS70" s="71"/>
      <c r="AT70" s="71"/>
      <c r="AU70" s="71"/>
      <c r="AV70" s="71"/>
      <c r="AW70" s="71"/>
      <c r="AX70" s="121"/>
      <c r="AY70" s="71"/>
      <c r="AZ70" s="71"/>
      <c r="BA70" s="71"/>
      <c r="BB70" s="71"/>
      <c r="BC70" s="71"/>
      <c r="BD70" s="71"/>
      <c r="BE70" s="71"/>
      <c r="BF70" s="71"/>
      <c r="BG70" s="71"/>
      <c r="BH70" s="71"/>
      <c r="BI70" s="71"/>
      <c r="BJ70" s="71"/>
      <c r="BK70" s="71"/>
      <c r="BL70" s="71"/>
      <c r="BM70" s="61"/>
      <c r="BN70" s="105"/>
      <c r="BO70" s="105"/>
      <c r="BP70" s="102"/>
      <c r="BQ70" s="96"/>
      <c r="BR70" s="114"/>
      <c r="BS70" s="28"/>
      <c r="BT70" s="28"/>
      <c r="BU70" s="71"/>
      <c r="BV70" s="25"/>
      <c r="BW70" s="25"/>
      <c r="BX70" s="71"/>
      <c r="BY70" s="71"/>
      <c r="BZ70" s="71"/>
      <c r="CA70" s="71"/>
      <c r="CB70" s="71"/>
      <c r="CC70" s="71"/>
      <c r="CD70" s="71"/>
      <c r="CE70" s="71"/>
      <c r="CF70" s="71"/>
      <c r="CG70" s="71"/>
      <c r="CH70" s="71"/>
      <c r="CI70" s="115"/>
      <c r="CJ70" s="71"/>
      <c r="CK70" s="71"/>
      <c r="CL70" s="71"/>
      <c r="CM70" s="71"/>
      <c r="CN70" s="71"/>
      <c r="CO70" s="71"/>
      <c r="CP70" s="71"/>
      <c r="CQ70" s="71"/>
      <c r="CR70" s="71"/>
      <c r="CS70" s="71"/>
      <c r="CT70" s="71"/>
      <c r="CU70" s="71"/>
      <c r="CV70" s="71"/>
      <c r="CW70" s="71"/>
      <c r="CX70" s="71"/>
      <c r="CY70" s="71"/>
      <c r="CZ70" s="71"/>
      <c r="DA70" s="125"/>
      <c r="DB70" s="71"/>
      <c r="DC70" s="71"/>
      <c r="DD70" s="71"/>
      <c r="DE70" s="71"/>
      <c r="DF70" s="71"/>
      <c r="DG70" s="71"/>
      <c r="DH70" s="71"/>
      <c r="DI70" s="71"/>
      <c r="DJ70" s="71"/>
      <c r="DK70" s="71"/>
      <c r="DL70" s="71"/>
      <c r="DM70" s="71"/>
      <c r="DN70" s="71"/>
      <c r="DO70" s="71"/>
      <c r="DP70" s="71"/>
      <c r="DQ70" s="105"/>
      <c r="DR70" s="124"/>
      <c r="DS70" s="102"/>
      <c r="DT70" s="96"/>
      <c r="DU70" s="71"/>
      <c r="DV70" s="71"/>
      <c r="DW70" s="71"/>
      <c r="DX70" s="71"/>
      <c r="DY70" s="71"/>
      <c r="DZ70" s="71"/>
      <c r="EA70" s="71"/>
      <c r="EB70" s="71"/>
      <c r="EC70" s="71"/>
      <c r="ED70" s="71"/>
      <c r="EE70" s="71"/>
      <c r="EF70" s="71"/>
      <c r="EG70" s="71"/>
      <c r="EH70" s="71"/>
      <c r="EI70" s="71"/>
      <c r="EJ70" s="71"/>
      <c r="EK70" s="71"/>
      <c r="EL70" s="83"/>
      <c r="EM70" s="71"/>
      <c r="EN70" s="71"/>
      <c r="EO70" s="71"/>
      <c r="EP70" s="71"/>
      <c r="EQ70" s="71"/>
      <c r="ER70" s="71"/>
      <c r="ES70" s="71"/>
      <c r="ET70" s="71"/>
      <c r="EU70" s="71"/>
      <c r="EV70" s="71"/>
      <c r="EW70" s="71"/>
      <c r="EX70" s="71"/>
      <c r="EY70" s="71"/>
      <c r="EZ70" s="71"/>
      <c r="FA70" s="71"/>
      <c r="FB70" s="71"/>
      <c r="FC70" s="71"/>
      <c r="FD70" s="125"/>
      <c r="FE70" s="71"/>
      <c r="FF70" s="71"/>
      <c r="FG70" s="71"/>
      <c r="FH70" s="71"/>
      <c r="FI70" s="71"/>
      <c r="FJ70" s="71"/>
      <c r="FK70" s="71"/>
      <c r="FL70" s="71"/>
      <c r="FM70" s="71"/>
      <c r="FN70" s="71"/>
      <c r="FO70" s="71"/>
      <c r="FP70" s="61"/>
      <c r="FQ70" s="71"/>
      <c r="FR70" s="71"/>
      <c r="FS70" s="71"/>
      <c r="FT70" s="105"/>
      <c r="FU70" s="105"/>
      <c r="FV70" s="126"/>
      <c r="FW70" s="96"/>
      <c r="FX70" s="71"/>
      <c r="FY70" s="71"/>
      <c r="FZ70" s="71"/>
      <c r="GA70" s="71"/>
      <c r="GB70" s="71"/>
      <c r="GC70" s="71"/>
      <c r="GD70" s="71"/>
      <c r="GE70" s="71"/>
      <c r="GF70" s="71"/>
      <c r="GG70" s="71"/>
      <c r="GH70" s="71"/>
      <c r="GI70" s="71"/>
      <c r="GJ70" s="71"/>
      <c r="GK70" s="71"/>
      <c r="GL70" s="71"/>
      <c r="GM70" s="71"/>
      <c r="GN70" s="71"/>
      <c r="GO70" s="115"/>
      <c r="GP70" s="71"/>
      <c r="GQ70" s="71"/>
      <c r="GR70" s="71"/>
      <c r="GS70" s="71"/>
      <c r="GT70" s="71"/>
      <c r="GU70" s="71"/>
      <c r="GV70" s="71"/>
      <c r="GW70" s="71"/>
      <c r="GX70" s="71"/>
      <c r="GY70" s="71"/>
      <c r="GZ70" s="71"/>
      <c r="HA70" s="71"/>
      <c r="HB70" s="71"/>
      <c r="HC70" s="71"/>
      <c r="HD70" s="71"/>
      <c r="HE70" s="71"/>
      <c r="HF70" s="71"/>
      <c r="HG70" s="128"/>
      <c r="HH70" s="71"/>
      <c r="HI70" s="71"/>
      <c r="HJ70" s="71"/>
      <c r="HK70" s="71"/>
      <c r="HL70" s="71"/>
      <c r="HM70" s="71"/>
      <c r="HN70" s="71"/>
      <c r="HO70" s="71"/>
      <c r="HP70" s="71"/>
      <c r="HQ70" s="71"/>
      <c r="HR70" s="71"/>
      <c r="HS70" s="61"/>
      <c r="HT70" s="71"/>
      <c r="HU70" s="71"/>
      <c r="HV70" s="71"/>
      <c r="HW70" s="105"/>
      <c r="HX70" s="105"/>
      <c r="HY70" s="102"/>
      <c r="HZ70" s="71"/>
      <c r="IA70" s="71"/>
    </row>
    <row r="71" spans="1:235" s="26" customFormat="1">
      <c r="B71" s="99"/>
      <c r="D71" s="106"/>
      <c r="L71" s="104"/>
      <c r="N71" s="99"/>
      <c r="O71" s="25"/>
      <c r="AF71" s="100"/>
      <c r="AX71" s="121"/>
      <c r="AY71" s="71"/>
      <c r="AZ71" s="71"/>
      <c r="BA71" s="71"/>
      <c r="BB71" s="71"/>
      <c r="BC71" s="71"/>
      <c r="BD71" s="71"/>
      <c r="BE71" s="71"/>
      <c r="BF71" s="71"/>
      <c r="BG71" s="71"/>
      <c r="BH71" s="71"/>
      <c r="BI71" s="71"/>
      <c r="BJ71" s="71"/>
      <c r="BK71" s="71"/>
      <c r="BL71" s="71"/>
      <c r="BM71" s="61"/>
      <c r="BN71" s="105"/>
      <c r="BO71" s="97"/>
      <c r="BP71" s="98"/>
      <c r="BQ71" s="99"/>
      <c r="CI71" s="100"/>
      <c r="DA71" s="125"/>
      <c r="DB71" s="71"/>
      <c r="DC71" s="71"/>
      <c r="DD71" s="71"/>
      <c r="DE71" s="71"/>
      <c r="DF71" s="71"/>
      <c r="DG71" s="71"/>
      <c r="DH71" s="71"/>
      <c r="DI71" s="71"/>
      <c r="DJ71" s="71"/>
      <c r="DK71" s="71"/>
      <c r="DL71" s="71"/>
      <c r="DM71" s="71"/>
      <c r="DN71" s="71"/>
      <c r="DO71" s="71"/>
      <c r="DP71" s="71"/>
      <c r="DQ71" s="105"/>
      <c r="DR71" s="97"/>
      <c r="DS71" s="98"/>
      <c r="DT71" s="99"/>
      <c r="EL71" s="100"/>
      <c r="FD71" s="101"/>
      <c r="FM71" s="71"/>
      <c r="FN71" s="71"/>
      <c r="FO71" s="71"/>
      <c r="FP71" s="71"/>
      <c r="FQ71" s="71"/>
      <c r="FR71" s="71"/>
      <c r="FS71" s="71"/>
      <c r="FT71" s="105"/>
      <c r="FU71" s="97"/>
      <c r="FV71" s="98"/>
      <c r="FW71" s="99"/>
      <c r="GO71" s="100"/>
      <c r="HG71" s="122"/>
      <c r="HS71" s="61"/>
      <c r="HW71" s="97"/>
      <c r="HX71" s="97"/>
      <c r="HY71" s="102"/>
    </row>
    <row r="72" spans="1:235" s="26" customFormat="1">
      <c r="B72" s="99"/>
      <c r="D72" s="106"/>
      <c r="L72" s="104"/>
      <c r="N72" s="99"/>
      <c r="O72" s="25"/>
      <c r="AF72" s="100"/>
      <c r="AX72" s="121"/>
      <c r="AY72" s="71"/>
      <c r="AZ72" s="71"/>
      <c r="BA72" s="71"/>
      <c r="BB72" s="71"/>
      <c r="BC72" s="71"/>
      <c r="BD72" s="71"/>
      <c r="BE72" s="71"/>
      <c r="BF72" s="71"/>
      <c r="BG72" s="71"/>
      <c r="BH72" s="71"/>
      <c r="BI72" s="71"/>
      <c r="BJ72" s="71"/>
      <c r="BK72" s="71"/>
      <c r="BL72" s="71"/>
      <c r="BM72" s="61"/>
      <c r="BN72" s="105"/>
      <c r="BO72" s="97"/>
      <c r="BP72" s="98"/>
      <c r="BQ72" s="99"/>
      <c r="CI72" s="100"/>
      <c r="DA72" s="125"/>
      <c r="DB72" s="71"/>
      <c r="DC72" s="71"/>
      <c r="DD72" s="71"/>
      <c r="DE72" s="71"/>
      <c r="DF72" s="71"/>
      <c r="DG72" s="71"/>
      <c r="DH72" s="71"/>
      <c r="DI72" s="71"/>
      <c r="DJ72" s="71"/>
      <c r="DK72" s="71"/>
      <c r="DL72" s="71"/>
      <c r="DM72" s="71"/>
      <c r="DN72" s="71"/>
      <c r="DO72" s="71"/>
      <c r="DP72" s="71"/>
      <c r="DQ72" s="105"/>
      <c r="DR72" s="97"/>
      <c r="DS72" s="98"/>
      <c r="DT72" s="99"/>
      <c r="EL72" s="100"/>
      <c r="FD72" s="101"/>
      <c r="FM72" s="71"/>
      <c r="FN72" s="71"/>
      <c r="FO72" s="71"/>
      <c r="FP72" s="71"/>
      <c r="FQ72" s="71"/>
      <c r="FR72" s="71"/>
      <c r="FS72" s="71"/>
      <c r="FT72" s="105"/>
      <c r="FU72" s="97"/>
      <c r="FV72" s="98"/>
      <c r="FW72" s="99"/>
      <c r="GO72" s="100"/>
      <c r="HG72" s="122"/>
      <c r="HS72" s="61"/>
      <c r="HW72" s="97"/>
      <c r="HX72" s="97"/>
      <c r="HY72" s="102"/>
    </row>
    <row r="73" spans="1:235" s="26" customFormat="1">
      <c r="B73" s="99"/>
      <c r="D73" s="106"/>
      <c r="L73" s="104"/>
      <c r="N73" s="99"/>
      <c r="O73" s="25"/>
      <c r="AF73" s="100"/>
      <c r="AX73" s="121"/>
      <c r="AY73" s="71"/>
      <c r="AZ73" s="71"/>
      <c r="BA73" s="71"/>
      <c r="BB73" s="71"/>
      <c r="BC73" s="71"/>
      <c r="BD73" s="71"/>
      <c r="BE73" s="71"/>
      <c r="BF73" s="71"/>
      <c r="BG73" s="71"/>
      <c r="BH73" s="71"/>
      <c r="BI73" s="71"/>
      <c r="BJ73" s="71"/>
      <c r="BK73" s="71"/>
      <c r="BL73" s="71"/>
      <c r="BM73" s="61"/>
      <c r="BN73" s="105"/>
      <c r="BO73" s="97"/>
      <c r="BP73" s="98"/>
      <c r="BQ73" s="99"/>
      <c r="CI73" s="100"/>
      <c r="DA73" s="101"/>
      <c r="DB73" s="71"/>
      <c r="DC73" s="71"/>
      <c r="DD73" s="71"/>
      <c r="DE73" s="71"/>
      <c r="DF73" s="71"/>
      <c r="DG73" s="71"/>
      <c r="DH73" s="71"/>
      <c r="DI73" s="71"/>
      <c r="DJ73" s="71"/>
      <c r="DK73" s="71"/>
      <c r="DL73" s="71"/>
      <c r="DM73" s="71"/>
      <c r="DN73" s="71"/>
      <c r="DO73" s="71"/>
      <c r="DP73" s="71"/>
      <c r="DQ73" s="105"/>
      <c r="DR73" s="97"/>
      <c r="DS73" s="98"/>
      <c r="DT73" s="99"/>
      <c r="EL73" s="100"/>
      <c r="FD73" s="101"/>
      <c r="FM73" s="71"/>
      <c r="FN73" s="71"/>
      <c r="FO73" s="71"/>
      <c r="FP73" s="71"/>
      <c r="FQ73" s="71"/>
      <c r="FR73" s="71"/>
      <c r="FS73" s="71"/>
      <c r="FT73" s="105"/>
      <c r="FU73" s="97"/>
      <c r="FV73" s="98"/>
      <c r="FW73" s="99"/>
      <c r="GO73" s="100"/>
      <c r="HG73" s="122"/>
      <c r="HS73" s="61"/>
      <c r="HW73" s="97"/>
      <c r="HX73" s="97"/>
      <c r="HY73" s="102"/>
    </row>
    <row r="74" spans="1:235" s="26" customFormat="1">
      <c r="B74" s="99"/>
      <c r="D74" s="106"/>
      <c r="L74" s="104"/>
      <c r="N74" s="99"/>
      <c r="O74" s="25"/>
      <c r="AF74" s="100"/>
      <c r="AX74" s="121"/>
      <c r="AY74" s="71"/>
      <c r="AZ74" s="71"/>
      <c r="BA74" s="71"/>
      <c r="BB74" s="71"/>
      <c r="BC74" s="71"/>
      <c r="BD74" s="71"/>
      <c r="BE74" s="71"/>
      <c r="BF74" s="71"/>
      <c r="BG74" s="71"/>
      <c r="BH74" s="71"/>
      <c r="BI74" s="71"/>
      <c r="BJ74" s="71"/>
      <c r="BK74" s="71"/>
      <c r="BL74" s="71"/>
      <c r="BM74" s="61"/>
      <c r="BN74" s="105"/>
      <c r="BO74" s="97"/>
      <c r="BP74" s="98"/>
      <c r="BQ74" s="99"/>
      <c r="CI74" s="100"/>
      <c r="DA74" s="101"/>
      <c r="DB74" s="71"/>
      <c r="DC74" s="71"/>
      <c r="DD74" s="71"/>
      <c r="DE74" s="71"/>
      <c r="DF74" s="71"/>
      <c r="DG74" s="71"/>
      <c r="DH74" s="71"/>
      <c r="DI74" s="71"/>
      <c r="DJ74" s="71"/>
      <c r="DK74" s="71"/>
      <c r="DL74" s="71"/>
      <c r="DM74" s="71"/>
      <c r="DN74" s="71"/>
      <c r="DO74" s="71"/>
      <c r="DP74" s="71"/>
      <c r="DQ74" s="105"/>
      <c r="DR74" s="97"/>
      <c r="DS74" s="98"/>
      <c r="DT74" s="99"/>
      <c r="EL74" s="100"/>
      <c r="FD74" s="101"/>
      <c r="FM74" s="71"/>
      <c r="FN74" s="71"/>
      <c r="FO74" s="71"/>
      <c r="FP74" s="71"/>
      <c r="FQ74" s="71"/>
      <c r="FR74" s="71"/>
      <c r="FS74" s="71"/>
      <c r="FT74" s="105"/>
      <c r="FU74" s="97"/>
      <c r="FV74" s="98"/>
      <c r="FW74" s="99"/>
      <c r="GO74" s="100"/>
      <c r="HG74" s="122"/>
      <c r="HS74" s="61"/>
      <c r="HW74" s="97"/>
      <c r="HX74" s="97"/>
      <c r="HY74" s="102"/>
    </row>
    <row r="75" spans="1:235" s="26" customFormat="1">
      <c r="A75" s="71"/>
      <c r="B75" s="70"/>
      <c r="C75" s="25"/>
      <c r="D75" s="106"/>
      <c r="L75" s="106"/>
      <c r="M75" s="25"/>
      <c r="N75" s="70"/>
      <c r="O75" s="25"/>
      <c r="P75" s="25"/>
      <c r="Q75" s="25"/>
      <c r="R75" s="25"/>
      <c r="S75" s="25"/>
      <c r="T75" s="25"/>
      <c r="AF75" s="100"/>
      <c r="AX75" s="121"/>
      <c r="AY75" s="71"/>
      <c r="AZ75" s="71"/>
      <c r="BA75" s="71"/>
      <c r="BB75" s="71"/>
      <c r="BC75" s="71"/>
      <c r="BD75" s="71"/>
      <c r="BE75" s="71"/>
      <c r="BF75" s="71"/>
      <c r="BG75" s="71"/>
      <c r="BH75" s="71"/>
      <c r="BI75" s="71"/>
      <c r="BJ75" s="71"/>
      <c r="BK75" s="71"/>
      <c r="BL75" s="71"/>
      <c r="BM75" s="61"/>
      <c r="BN75" s="105"/>
      <c r="BO75" s="97"/>
      <c r="BP75" s="98"/>
      <c r="BQ75" s="99"/>
      <c r="CI75" s="100"/>
      <c r="DA75" s="101"/>
      <c r="DB75" s="71"/>
      <c r="DC75" s="71"/>
      <c r="DD75" s="71"/>
      <c r="DE75" s="71"/>
      <c r="DF75" s="71"/>
      <c r="DG75" s="71"/>
      <c r="DH75" s="71"/>
      <c r="DI75" s="71"/>
      <c r="DJ75" s="71"/>
      <c r="DK75" s="71"/>
      <c r="DL75" s="71"/>
      <c r="DM75" s="71"/>
      <c r="DN75" s="71"/>
      <c r="DO75" s="71"/>
      <c r="DP75" s="71"/>
      <c r="DQ75" s="105"/>
      <c r="DR75" s="97"/>
      <c r="DS75" s="98"/>
      <c r="DT75" s="99"/>
      <c r="EL75" s="100"/>
      <c r="FD75" s="101"/>
      <c r="FM75" s="71"/>
      <c r="FN75" s="71"/>
      <c r="FO75" s="71"/>
      <c r="FP75" s="71"/>
      <c r="FQ75" s="71"/>
      <c r="FR75" s="71"/>
      <c r="FS75" s="71"/>
      <c r="FT75" s="105"/>
      <c r="FU75" s="97"/>
      <c r="FV75" s="98"/>
      <c r="FW75" s="99"/>
      <c r="GO75" s="100"/>
      <c r="HG75" s="122"/>
      <c r="HS75" s="61"/>
      <c r="HW75" s="97"/>
      <c r="HX75" s="97"/>
      <c r="HY75" s="102"/>
    </row>
    <row r="76" spans="1:235" s="26" customFormat="1">
      <c r="A76" s="71"/>
      <c r="B76" s="70"/>
      <c r="C76" s="25"/>
      <c r="D76" s="106"/>
      <c r="L76" s="106"/>
      <c r="M76" s="25"/>
      <c r="N76" s="70"/>
      <c r="O76" s="25"/>
      <c r="P76" s="25"/>
      <c r="Q76" s="25"/>
      <c r="R76" s="25"/>
      <c r="AF76" s="100"/>
      <c r="AX76" s="121"/>
      <c r="AY76" s="71"/>
      <c r="AZ76" s="71"/>
      <c r="BA76" s="71"/>
      <c r="BB76" s="71"/>
      <c r="BC76" s="71"/>
      <c r="BD76" s="71"/>
      <c r="BE76" s="71"/>
      <c r="BF76" s="71"/>
      <c r="BG76" s="71"/>
      <c r="BH76" s="71"/>
      <c r="BI76" s="71"/>
      <c r="BJ76" s="71"/>
      <c r="BK76" s="71"/>
      <c r="BL76" s="71"/>
      <c r="BM76" s="61"/>
      <c r="BN76" s="105"/>
      <c r="BO76" s="97"/>
      <c r="BP76" s="98"/>
      <c r="BQ76" s="99"/>
      <c r="CI76" s="100"/>
      <c r="DA76" s="101"/>
      <c r="DB76" s="71"/>
      <c r="DC76" s="71"/>
      <c r="DD76" s="71"/>
      <c r="DE76" s="71"/>
      <c r="DF76" s="71"/>
      <c r="DG76" s="71"/>
      <c r="DH76" s="71"/>
      <c r="DI76" s="71"/>
      <c r="DJ76" s="71"/>
      <c r="DK76" s="71"/>
      <c r="DL76" s="71"/>
      <c r="DM76" s="71"/>
      <c r="DN76" s="71"/>
      <c r="DO76" s="71"/>
      <c r="DP76" s="71"/>
      <c r="DQ76" s="105"/>
      <c r="DR76" s="97"/>
      <c r="DS76" s="98"/>
      <c r="DT76" s="99"/>
      <c r="EL76" s="100"/>
      <c r="FD76" s="101"/>
      <c r="FM76" s="71"/>
      <c r="FN76" s="71"/>
      <c r="FO76" s="71"/>
      <c r="FP76" s="71"/>
      <c r="FQ76" s="71"/>
      <c r="FR76" s="71"/>
      <c r="FS76" s="71"/>
      <c r="FT76" s="105"/>
      <c r="FU76" s="97"/>
      <c r="FV76" s="98"/>
      <c r="FW76" s="99"/>
      <c r="GO76" s="100"/>
      <c r="HG76" s="122"/>
      <c r="HW76" s="97"/>
      <c r="HX76" s="97"/>
      <c r="HY76" s="102"/>
    </row>
    <row r="77" spans="1:235" s="26" customFormat="1">
      <c r="B77" s="99"/>
      <c r="D77" s="104"/>
      <c r="L77" s="104"/>
      <c r="N77" s="99"/>
      <c r="AF77" s="100"/>
      <c r="AX77" s="122"/>
      <c r="AY77" s="71"/>
      <c r="AZ77" s="71"/>
      <c r="BA77" s="71"/>
      <c r="BB77" s="71"/>
      <c r="BC77" s="71"/>
      <c r="BD77" s="71"/>
      <c r="BE77" s="71"/>
      <c r="BF77" s="71"/>
      <c r="BG77" s="71"/>
      <c r="BH77" s="71"/>
      <c r="BI77" s="71"/>
      <c r="BJ77" s="71"/>
      <c r="BK77" s="71"/>
      <c r="BL77" s="71"/>
      <c r="BM77" s="71"/>
      <c r="BN77" s="105"/>
      <c r="BO77" s="97"/>
      <c r="BP77" s="98"/>
      <c r="BQ77" s="99"/>
      <c r="CI77" s="100"/>
      <c r="DA77" s="101"/>
      <c r="DB77" s="71"/>
      <c r="DC77" s="71"/>
      <c r="DD77" s="71"/>
      <c r="DE77" s="71"/>
      <c r="DF77" s="71"/>
      <c r="DG77" s="71"/>
      <c r="DH77" s="71"/>
      <c r="DI77" s="71"/>
      <c r="DJ77" s="71"/>
      <c r="DK77" s="71"/>
      <c r="DL77" s="71"/>
      <c r="DM77" s="71"/>
      <c r="DN77" s="71"/>
      <c r="DO77" s="71"/>
      <c r="DP77" s="71"/>
      <c r="DQ77" s="105"/>
      <c r="DR77" s="97"/>
      <c r="DS77" s="98"/>
      <c r="DT77" s="99"/>
      <c r="EL77" s="100"/>
      <c r="FD77" s="101"/>
      <c r="FT77" s="97"/>
      <c r="FU77" s="97"/>
      <c r="FV77" s="98"/>
      <c r="FW77" s="99"/>
      <c r="GO77" s="100"/>
      <c r="HG77" s="122"/>
      <c r="HW77" s="97"/>
      <c r="HX77" s="97"/>
      <c r="HY77" s="102"/>
    </row>
    <row r="78" spans="1:235" s="26" customFormat="1">
      <c r="B78" s="99"/>
      <c r="D78" s="104"/>
      <c r="L78" s="104"/>
      <c r="N78" s="99"/>
      <c r="AF78" s="100"/>
      <c r="AX78" s="122"/>
      <c r="AY78" s="71"/>
      <c r="AZ78" s="71"/>
      <c r="BA78" s="71"/>
      <c r="BB78" s="71"/>
      <c r="BC78" s="71"/>
      <c r="BD78" s="71"/>
      <c r="BE78" s="71"/>
      <c r="BF78" s="71"/>
      <c r="BG78" s="71"/>
      <c r="BH78" s="71"/>
      <c r="BI78" s="71"/>
      <c r="BJ78" s="71"/>
      <c r="BK78" s="71"/>
      <c r="BL78" s="71"/>
      <c r="BM78" s="71"/>
      <c r="BN78" s="105"/>
      <c r="BO78" s="97"/>
      <c r="BP78" s="98"/>
      <c r="BQ78" s="99"/>
      <c r="CI78" s="100"/>
      <c r="DA78" s="101"/>
      <c r="DB78" s="71"/>
      <c r="DC78" s="71"/>
      <c r="DD78" s="71"/>
      <c r="DE78" s="71"/>
      <c r="DF78" s="71"/>
      <c r="DG78" s="71"/>
      <c r="DH78" s="71"/>
      <c r="DI78" s="71"/>
      <c r="DJ78" s="71"/>
      <c r="DK78" s="71"/>
      <c r="DL78" s="71"/>
      <c r="DM78" s="71"/>
      <c r="DN78" s="71"/>
      <c r="DO78" s="71"/>
      <c r="DP78" s="71"/>
      <c r="DQ78" s="105"/>
      <c r="DR78" s="97"/>
      <c r="DS78" s="98"/>
      <c r="DT78" s="99"/>
      <c r="EL78" s="100"/>
      <c r="FD78" s="101"/>
      <c r="FT78" s="97"/>
      <c r="FU78" s="97"/>
      <c r="FV78" s="98"/>
      <c r="FW78" s="99"/>
      <c r="GO78" s="100"/>
      <c r="HG78" s="122"/>
      <c r="HW78" s="97"/>
      <c r="HX78" s="97"/>
      <c r="HY78" s="102"/>
    </row>
    <row r="79" spans="1:235" s="26" customFormat="1">
      <c r="B79" s="99"/>
      <c r="D79" s="104"/>
      <c r="L79" s="104"/>
      <c r="N79" s="99"/>
      <c r="AF79" s="100"/>
      <c r="AX79" s="122"/>
      <c r="AY79" s="71"/>
      <c r="AZ79" s="71"/>
      <c r="BA79" s="71"/>
      <c r="BB79" s="71"/>
      <c r="BC79" s="71"/>
      <c r="BD79" s="71"/>
      <c r="BE79" s="71"/>
      <c r="BF79" s="71"/>
      <c r="BG79" s="71"/>
      <c r="BH79" s="71"/>
      <c r="BI79" s="71"/>
      <c r="BJ79" s="71"/>
      <c r="BK79" s="71"/>
      <c r="BL79" s="71"/>
      <c r="BM79" s="71"/>
      <c r="BN79" s="105"/>
      <c r="BO79" s="97"/>
      <c r="BP79" s="98"/>
      <c r="BQ79" s="99"/>
      <c r="CI79" s="100"/>
      <c r="DA79" s="101"/>
      <c r="DB79" s="71"/>
      <c r="DC79" s="71"/>
      <c r="DD79" s="71"/>
      <c r="DE79" s="71"/>
      <c r="DF79" s="71"/>
      <c r="DG79" s="71"/>
      <c r="DH79" s="71"/>
      <c r="DI79" s="71"/>
      <c r="DJ79" s="71"/>
      <c r="DK79" s="71"/>
      <c r="DL79" s="71"/>
      <c r="DM79" s="71"/>
      <c r="DN79" s="71"/>
      <c r="DO79" s="71"/>
      <c r="DP79" s="71"/>
      <c r="DQ79" s="105"/>
      <c r="DR79" s="97"/>
      <c r="DS79" s="98"/>
      <c r="DT79" s="99"/>
      <c r="EL79" s="100"/>
      <c r="FD79" s="101"/>
      <c r="FT79" s="97"/>
      <c r="FU79" s="97"/>
      <c r="FV79" s="98"/>
      <c r="FW79" s="99"/>
      <c r="GO79" s="100"/>
      <c r="HG79" s="122"/>
      <c r="HW79" s="97"/>
      <c r="HX79" s="97"/>
      <c r="HY79" s="102"/>
    </row>
    <row r="80" spans="1:235" s="26" customFormat="1">
      <c r="B80" s="99"/>
      <c r="D80" s="104"/>
      <c r="L80" s="104"/>
      <c r="N80" s="99"/>
      <c r="AF80" s="100"/>
      <c r="AX80" s="122"/>
      <c r="AY80" s="71"/>
      <c r="AZ80" s="71"/>
      <c r="BA80" s="71"/>
      <c r="BB80" s="71"/>
      <c r="BC80" s="71"/>
      <c r="BD80" s="71"/>
      <c r="BE80" s="71"/>
      <c r="BF80" s="71"/>
      <c r="BG80" s="71"/>
      <c r="BH80" s="71"/>
      <c r="BI80" s="71"/>
      <c r="BJ80" s="71"/>
      <c r="BK80" s="71"/>
      <c r="BL80" s="71"/>
      <c r="BM80" s="71"/>
      <c r="BN80" s="105"/>
      <c r="BO80" s="97"/>
      <c r="BP80" s="98"/>
      <c r="BQ80" s="99"/>
      <c r="CI80" s="100"/>
      <c r="DA80" s="101"/>
      <c r="DB80" s="71"/>
      <c r="DC80" s="71"/>
      <c r="DD80" s="71"/>
      <c r="DE80" s="71"/>
      <c r="DF80" s="71"/>
      <c r="DG80" s="71"/>
      <c r="DH80" s="71"/>
      <c r="DI80" s="71"/>
      <c r="DJ80" s="71"/>
      <c r="DK80" s="71"/>
      <c r="DL80" s="71"/>
      <c r="DM80" s="71"/>
      <c r="DN80" s="71"/>
      <c r="DO80" s="71"/>
      <c r="DP80" s="71"/>
      <c r="DQ80" s="105"/>
      <c r="DR80" s="97"/>
      <c r="DS80" s="98"/>
      <c r="DT80" s="99"/>
      <c r="EL80" s="100"/>
      <c r="FD80" s="101"/>
      <c r="FT80" s="97"/>
      <c r="FU80" s="97"/>
      <c r="FV80" s="98"/>
      <c r="FW80" s="99"/>
      <c r="GO80" s="100"/>
      <c r="HG80" s="122"/>
      <c r="HW80" s="97"/>
      <c r="HX80" s="97"/>
      <c r="HY80" s="102"/>
    </row>
    <row r="81" spans="2:233" s="26" customFormat="1">
      <c r="B81" s="99"/>
      <c r="D81" s="104"/>
      <c r="L81" s="104"/>
      <c r="N81" s="99"/>
      <c r="AF81" s="100"/>
      <c r="AX81" s="122"/>
      <c r="AY81" s="71"/>
      <c r="AZ81" s="71"/>
      <c r="BA81" s="71"/>
      <c r="BB81" s="71"/>
      <c r="BC81" s="71"/>
      <c r="BD81" s="71"/>
      <c r="BE81" s="71"/>
      <c r="BF81" s="71"/>
      <c r="BG81" s="71"/>
      <c r="BH81" s="71"/>
      <c r="BI81" s="71"/>
      <c r="BJ81" s="71"/>
      <c r="BK81" s="71"/>
      <c r="BL81" s="71"/>
      <c r="BM81" s="71"/>
      <c r="BN81" s="105"/>
      <c r="BO81" s="97"/>
      <c r="BP81" s="98"/>
      <c r="BQ81" s="99"/>
      <c r="CI81" s="100"/>
      <c r="DA81" s="101"/>
      <c r="DB81" s="71"/>
      <c r="DC81" s="71"/>
      <c r="DD81" s="71"/>
      <c r="DE81" s="71"/>
      <c r="DF81" s="71"/>
      <c r="DG81" s="71"/>
      <c r="DH81" s="71"/>
      <c r="DI81" s="71"/>
      <c r="DJ81" s="71"/>
      <c r="DK81" s="71"/>
      <c r="DL81" s="71"/>
      <c r="DM81" s="71"/>
      <c r="DN81" s="71"/>
      <c r="DO81" s="71"/>
      <c r="DP81" s="71"/>
      <c r="DQ81" s="105"/>
      <c r="DR81" s="97"/>
      <c r="DS81" s="98"/>
      <c r="DT81" s="99"/>
      <c r="EL81" s="100"/>
      <c r="FD81" s="101"/>
      <c r="FT81" s="97"/>
      <c r="FU81" s="97"/>
      <c r="FV81" s="98"/>
      <c r="FW81" s="99"/>
      <c r="GO81" s="100"/>
      <c r="HG81" s="122"/>
      <c r="HW81" s="97"/>
      <c r="HX81" s="97"/>
      <c r="HY81" s="102"/>
    </row>
    <row r="82" spans="2:233" s="26" customFormat="1">
      <c r="B82" s="99"/>
      <c r="D82" s="104"/>
      <c r="L82" s="104"/>
      <c r="N82" s="99"/>
      <c r="AF82" s="100"/>
      <c r="AX82" s="122"/>
      <c r="AY82" s="71"/>
      <c r="AZ82" s="71"/>
      <c r="BA82" s="71"/>
      <c r="BB82" s="71"/>
      <c r="BC82" s="71"/>
      <c r="BD82" s="71"/>
      <c r="BE82" s="71"/>
      <c r="BF82" s="71"/>
      <c r="BG82" s="71"/>
      <c r="BH82" s="71"/>
      <c r="BI82" s="71"/>
      <c r="BJ82" s="71"/>
      <c r="BK82" s="71"/>
      <c r="BL82" s="71"/>
      <c r="BM82" s="71"/>
      <c r="BN82" s="105"/>
      <c r="BO82" s="97"/>
      <c r="BP82" s="98"/>
      <c r="BQ82" s="99"/>
      <c r="CI82" s="100"/>
      <c r="DA82" s="101"/>
      <c r="DB82" s="71"/>
      <c r="DC82" s="71"/>
      <c r="DD82" s="71"/>
      <c r="DE82" s="71"/>
      <c r="DF82" s="71"/>
      <c r="DG82" s="71"/>
      <c r="DH82" s="71"/>
      <c r="DI82" s="71"/>
      <c r="DJ82" s="71"/>
      <c r="DK82" s="71"/>
      <c r="DL82" s="71"/>
      <c r="DM82" s="71"/>
      <c r="DN82" s="71"/>
      <c r="DO82" s="71"/>
      <c r="DP82" s="71"/>
      <c r="DQ82" s="105"/>
      <c r="DR82" s="97"/>
      <c r="DS82" s="98"/>
      <c r="DT82" s="99"/>
      <c r="EL82" s="100"/>
      <c r="FD82" s="101"/>
      <c r="FT82" s="97"/>
      <c r="FU82" s="97"/>
      <c r="FV82" s="98"/>
      <c r="FW82" s="99"/>
      <c r="GO82" s="100"/>
      <c r="HG82" s="122"/>
      <c r="HW82" s="97"/>
      <c r="HX82" s="97"/>
      <c r="HY82" s="102"/>
    </row>
    <row r="83" spans="2:233" s="26" customFormat="1">
      <c r="B83" s="99"/>
      <c r="D83" s="104"/>
      <c r="L83" s="104"/>
      <c r="N83" s="99"/>
      <c r="AF83" s="100"/>
      <c r="AX83" s="122"/>
      <c r="AY83" s="71"/>
      <c r="AZ83" s="71"/>
      <c r="BA83" s="71"/>
      <c r="BB83" s="71"/>
      <c r="BC83" s="71"/>
      <c r="BD83" s="71"/>
      <c r="BE83" s="71"/>
      <c r="BF83" s="71"/>
      <c r="BG83" s="71"/>
      <c r="BH83" s="71"/>
      <c r="BI83" s="71"/>
      <c r="BJ83" s="71"/>
      <c r="BK83" s="71"/>
      <c r="BL83" s="71"/>
      <c r="BM83" s="71"/>
      <c r="BN83" s="105"/>
      <c r="BO83" s="97"/>
      <c r="BP83" s="98"/>
      <c r="BQ83" s="99"/>
      <c r="CI83" s="100"/>
      <c r="DA83" s="101"/>
      <c r="DB83" s="71"/>
      <c r="DC83" s="71"/>
      <c r="DD83" s="71"/>
      <c r="DE83" s="71"/>
      <c r="DF83" s="71"/>
      <c r="DG83" s="71"/>
      <c r="DH83" s="71"/>
      <c r="DI83" s="71"/>
      <c r="DJ83" s="71"/>
      <c r="DK83" s="71"/>
      <c r="DL83" s="71"/>
      <c r="DM83" s="71"/>
      <c r="DN83" s="71"/>
      <c r="DO83" s="71"/>
      <c r="DP83" s="71"/>
      <c r="DQ83" s="105"/>
      <c r="DR83" s="97"/>
      <c r="DS83" s="98"/>
      <c r="DT83" s="99"/>
      <c r="EL83" s="100"/>
      <c r="FD83" s="101"/>
      <c r="FT83" s="97"/>
      <c r="FU83" s="97"/>
      <c r="FV83" s="98"/>
      <c r="FW83" s="99"/>
      <c r="GO83" s="100"/>
      <c r="HG83" s="122"/>
      <c r="HW83" s="97"/>
      <c r="HX83" s="97"/>
      <c r="HY83" s="102"/>
    </row>
    <row r="84" spans="2:233" s="26" customFormat="1">
      <c r="B84" s="99"/>
      <c r="D84" s="104"/>
      <c r="L84" s="104"/>
      <c r="N84" s="99"/>
      <c r="AF84" s="100"/>
      <c r="AX84" s="122"/>
      <c r="AY84" s="71"/>
      <c r="AZ84" s="71"/>
      <c r="BA84" s="71"/>
      <c r="BB84" s="71"/>
      <c r="BC84" s="71"/>
      <c r="BD84" s="71"/>
      <c r="BE84" s="71"/>
      <c r="BF84" s="71"/>
      <c r="BG84" s="71"/>
      <c r="BH84" s="71"/>
      <c r="BI84" s="71"/>
      <c r="BJ84" s="71"/>
      <c r="BK84" s="71"/>
      <c r="BL84" s="71"/>
      <c r="BM84" s="71"/>
      <c r="BN84" s="105"/>
      <c r="BO84" s="97"/>
      <c r="BP84" s="98"/>
      <c r="BQ84" s="99"/>
      <c r="CI84" s="100"/>
      <c r="DA84" s="101"/>
      <c r="DB84" s="71"/>
      <c r="DC84" s="71"/>
      <c r="DD84" s="71"/>
      <c r="DE84" s="71"/>
      <c r="DF84" s="71"/>
      <c r="DG84" s="71"/>
      <c r="DH84" s="71"/>
      <c r="DI84" s="71"/>
      <c r="DJ84" s="71"/>
      <c r="DK84" s="71"/>
      <c r="DL84" s="71"/>
      <c r="DM84" s="71"/>
      <c r="DN84" s="71"/>
      <c r="DO84" s="71"/>
      <c r="DP84" s="71"/>
      <c r="DQ84" s="105"/>
      <c r="DR84" s="97"/>
      <c r="DS84" s="98"/>
      <c r="DT84" s="99"/>
      <c r="EL84" s="100"/>
      <c r="FD84" s="101"/>
      <c r="FT84" s="97"/>
      <c r="FU84" s="97"/>
      <c r="FV84" s="98"/>
      <c r="FW84" s="99"/>
      <c r="GO84" s="100"/>
      <c r="HG84" s="122"/>
      <c r="HW84" s="97"/>
      <c r="HX84" s="97"/>
      <c r="HY84" s="102"/>
    </row>
    <row r="85" spans="2:233" s="26" customFormat="1">
      <c r="B85" s="99"/>
      <c r="D85" s="104"/>
      <c r="L85" s="104"/>
      <c r="N85" s="99"/>
      <c r="AF85" s="100"/>
      <c r="AX85" s="122"/>
      <c r="AY85" s="71"/>
      <c r="AZ85" s="71"/>
      <c r="BA85" s="71"/>
      <c r="BB85" s="71"/>
      <c r="BC85" s="71"/>
      <c r="BD85" s="71"/>
      <c r="BE85" s="71"/>
      <c r="BF85" s="71"/>
      <c r="BG85" s="71"/>
      <c r="BH85" s="71"/>
      <c r="BI85" s="71"/>
      <c r="BJ85" s="71"/>
      <c r="BK85" s="71"/>
      <c r="BL85" s="71"/>
      <c r="BM85" s="71"/>
      <c r="BN85" s="105"/>
      <c r="BO85" s="97"/>
      <c r="BP85" s="98"/>
      <c r="BQ85" s="99"/>
      <c r="CI85" s="100"/>
      <c r="DA85" s="101"/>
      <c r="DB85" s="71"/>
      <c r="DC85" s="71"/>
      <c r="DD85" s="71"/>
      <c r="DE85" s="71"/>
      <c r="DF85" s="71"/>
      <c r="DG85" s="71"/>
      <c r="DH85" s="71"/>
      <c r="DI85" s="71"/>
      <c r="DJ85" s="71"/>
      <c r="DK85" s="71"/>
      <c r="DL85" s="71"/>
      <c r="DM85" s="71"/>
      <c r="DN85" s="71"/>
      <c r="DO85" s="71"/>
      <c r="DP85" s="71"/>
      <c r="DQ85" s="105"/>
      <c r="DR85" s="97"/>
      <c r="DS85" s="98"/>
      <c r="DT85" s="99"/>
      <c r="EL85" s="100"/>
      <c r="FD85" s="101"/>
      <c r="FT85" s="97"/>
      <c r="FU85" s="97"/>
      <c r="FV85" s="98"/>
      <c r="FW85" s="99"/>
      <c r="GO85" s="100"/>
      <c r="HG85" s="122"/>
      <c r="HW85" s="97"/>
      <c r="HX85" s="97"/>
      <c r="HY85" s="102"/>
    </row>
    <row r="86" spans="2:233" s="26" customFormat="1">
      <c r="B86" s="99"/>
      <c r="D86" s="104"/>
      <c r="L86" s="104"/>
      <c r="N86" s="99"/>
      <c r="AF86" s="100"/>
      <c r="AX86" s="122"/>
      <c r="AY86" s="71"/>
      <c r="AZ86" s="71"/>
      <c r="BA86" s="71"/>
      <c r="BB86" s="71"/>
      <c r="BC86" s="71"/>
      <c r="BD86" s="71"/>
      <c r="BE86" s="71"/>
      <c r="BF86" s="71"/>
      <c r="BG86" s="71"/>
      <c r="BH86" s="71"/>
      <c r="BI86" s="71"/>
      <c r="BJ86" s="71"/>
      <c r="BK86" s="71"/>
      <c r="BL86" s="71"/>
      <c r="BM86" s="71"/>
      <c r="BN86" s="105"/>
      <c r="BO86" s="97"/>
      <c r="BP86" s="98"/>
      <c r="BQ86" s="99"/>
      <c r="CI86" s="100"/>
      <c r="DA86" s="101"/>
      <c r="DB86" s="71"/>
      <c r="DC86" s="71"/>
      <c r="DD86" s="71"/>
      <c r="DE86" s="71"/>
      <c r="DF86" s="71"/>
      <c r="DG86" s="71"/>
      <c r="DH86" s="71"/>
      <c r="DI86" s="71"/>
      <c r="DJ86" s="71"/>
      <c r="DK86" s="71"/>
      <c r="DL86" s="71"/>
      <c r="DM86" s="71"/>
      <c r="DN86" s="71"/>
      <c r="DO86" s="71"/>
      <c r="DP86" s="71"/>
      <c r="DQ86" s="105"/>
      <c r="DR86" s="97"/>
      <c r="DS86" s="98"/>
      <c r="DT86" s="99"/>
      <c r="EL86" s="100"/>
      <c r="FD86" s="101"/>
      <c r="FT86" s="97"/>
      <c r="FU86" s="97"/>
      <c r="FV86" s="98"/>
      <c r="FW86" s="99"/>
      <c r="GO86" s="100"/>
      <c r="HG86" s="122"/>
      <c r="HW86" s="97"/>
      <c r="HX86" s="97"/>
      <c r="HY86" s="102"/>
    </row>
    <row r="87" spans="2:233" s="26" customFormat="1">
      <c r="B87" s="99"/>
      <c r="D87" s="104"/>
      <c r="L87" s="104"/>
      <c r="N87" s="99"/>
      <c r="AF87" s="100"/>
      <c r="AX87" s="122"/>
      <c r="AY87" s="71"/>
      <c r="AZ87" s="71"/>
      <c r="BA87" s="71"/>
      <c r="BB87" s="71"/>
      <c r="BC87" s="71"/>
      <c r="BD87" s="71"/>
      <c r="BE87" s="71"/>
      <c r="BF87" s="71"/>
      <c r="BG87" s="71"/>
      <c r="BH87" s="71"/>
      <c r="BI87" s="71"/>
      <c r="BJ87" s="71"/>
      <c r="BK87" s="71"/>
      <c r="BL87" s="71"/>
      <c r="BM87" s="71"/>
      <c r="BN87" s="105"/>
      <c r="BO87" s="97"/>
      <c r="BP87" s="98"/>
      <c r="BQ87" s="99"/>
      <c r="CI87" s="100"/>
      <c r="DA87" s="101"/>
      <c r="DB87" s="71"/>
      <c r="DC87" s="71"/>
      <c r="DD87" s="71"/>
      <c r="DE87" s="71"/>
      <c r="DF87" s="71"/>
      <c r="DG87" s="71"/>
      <c r="DH87" s="71"/>
      <c r="DI87" s="71"/>
      <c r="DJ87" s="71"/>
      <c r="DK87" s="71"/>
      <c r="DL87" s="71"/>
      <c r="DM87" s="71"/>
      <c r="DN87" s="71"/>
      <c r="DO87" s="71"/>
      <c r="DP87" s="71"/>
      <c r="DQ87" s="105"/>
      <c r="DR87" s="97"/>
      <c r="DS87" s="98"/>
      <c r="DT87" s="99"/>
      <c r="EL87" s="100"/>
      <c r="FD87" s="101"/>
      <c r="FT87" s="97"/>
      <c r="FU87" s="97"/>
      <c r="FV87" s="98"/>
      <c r="FW87" s="99"/>
      <c r="GO87" s="100"/>
      <c r="HG87" s="122"/>
      <c r="HW87" s="97"/>
      <c r="HX87" s="97"/>
      <c r="HY87" s="102"/>
    </row>
    <row r="88" spans="2:233" s="26" customFormat="1">
      <c r="B88" s="99"/>
      <c r="D88" s="104"/>
      <c r="L88" s="104"/>
      <c r="N88" s="99"/>
      <c r="AF88" s="100"/>
      <c r="AX88" s="122"/>
      <c r="AY88" s="71"/>
      <c r="AZ88" s="71"/>
      <c r="BA88" s="71"/>
      <c r="BB88" s="71"/>
      <c r="BC88" s="71"/>
      <c r="BD88" s="71"/>
      <c r="BE88" s="71"/>
      <c r="BF88" s="71"/>
      <c r="BG88" s="71"/>
      <c r="BH88" s="71"/>
      <c r="BI88" s="71"/>
      <c r="BJ88" s="71"/>
      <c r="BK88" s="71"/>
      <c r="BL88" s="71"/>
      <c r="BM88" s="71"/>
      <c r="BN88" s="105"/>
      <c r="BO88" s="97"/>
      <c r="BP88" s="98"/>
      <c r="BQ88" s="99"/>
      <c r="CI88" s="100"/>
      <c r="DA88" s="101"/>
      <c r="DB88" s="71"/>
      <c r="DC88" s="71"/>
      <c r="DD88" s="71"/>
      <c r="DE88" s="71"/>
      <c r="DF88" s="71"/>
      <c r="DG88" s="71"/>
      <c r="DH88" s="71"/>
      <c r="DI88" s="71"/>
      <c r="DJ88" s="71"/>
      <c r="DK88" s="71"/>
      <c r="DL88" s="71"/>
      <c r="DM88" s="71"/>
      <c r="DN88" s="71"/>
      <c r="DO88" s="71"/>
      <c r="DP88" s="71"/>
      <c r="DQ88" s="105"/>
      <c r="DR88" s="97"/>
      <c r="DS88" s="98"/>
      <c r="DT88" s="99"/>
      <c r="EL88" s="100"/>
      <c r="FD88" s="101"/>
      <c r="FT88" s="97"/>
      <c r="FU88" s="97"/>
      <c r="FV88" s="98"/>
      <c r="FW88" s="99"/>
      <c r="GO88" s="100"/>
      <c r="HG88" s="122"/>
      <c r="HW88" s="97"/>
      <c r="HX88" s="97"/>
      <c r="HY88" s="102"/>
    </row>
    <row r="89" spans="2:233" s="26" customFormat="1">
      <c r="B89" s="99"/>
      <c r="D89" s="104"/>
      <c r="L89" s="104"/>
      <c r="N89" s="99"/>
      <c r="AF89" s="100"/>
      <c r="AX89" s="122"/>
      <c r="AY89" s="71"/>
      <c r="AZ89" s="71"/>
      <c r="BA89" s="71"/>
      <c r="BB89" s="71"/>
      <c r="BC89" s="71"/>
      <c r="BD89" s="71"/>
      <c r="BE89" s="71"/>
      <c r="BF89" s="71"/>
      <c r="BG89" s="71"/>
      <c r="BH89" s="71"/>
      <c r="BI89" s="71"/>
      <c r="BJ89" s="71"/>
      <c r="BK89" s="71"/>
      <c r="BL89" s="71"/>
      <c r="BM89" s="71"/>
      <c r="BN89" s="105"/>
      <c r="BO89" s="97"/>
      <c r="BP89" s="98"/>
      <c r="BQ89" s="99"/>
      <c r="CI89" s="100"/>
      <c r="DA89" s="101"/>
      <c r="DB89" s="71"/>
      <c r="DC89" s="71"/>
      <c r="DD89" s="71"/>
      <c r="DE89" s="71"/>
      <c r="DF89" s="71"/>
      <c r="DG89" s="71"/>
      <c r="DH89" s="71"/>
      <c r="DI89" s="71"/>
      <c r="DJ89" s="71"/>
      <c r="DK89" s="71"/>
      <c r="DL89" s="71"/>
      <c r="DM89" s="71"/>
      <c r="DN89" s="71"/>
      <c r="DO89" s="71"/>
      <c r="DP89" s="71"/>
      <c r="DQ89" s="105"/>
      <c r="DR89" s="97"/>
      <c r="DS89" s="98"/>
      <c r="DT89" s="99"/>
      <c r="EL89" s="100"/>
      <c r="FD89" s="101"/>
      <c r="FT89" s="97"/>
      <c r="FU89" s="97"/>
      <c r="FV89" s="98"/>
      <c r="FW89" s="99"/>
      <c r="GO89" s="100"/>
      <c r="HG89" s="122"/>
      <c r="HW89" s="97"/>
      <c r="HX89" s="97"/>
      <c r="HY89" s="102"/>
    </row>
    <row r="90" spans="2:233" s="26" customFormat="1">
      <c r="B90" s="99"/>
      <c r="D90" s="104"/>
      <c r="L90" s="104"/>
      <c r="N90" s="99"/>
      <c r="AF90" s="100"/>
      <c r="AX90" s="122"/>
      <c r="AY90" s="71"/>
      <c r="AZ90" s="71"/>
      <c r="BA90" s="71"/>
      <c r="BB90" s="71"/>
      <c r="BC90" s="71"/>
      <c r="BD90" s="71"/>
      <c r="BE90" s="71"/>
      <c r="BF90" s="71"/>
      <c r="BG90" s="71"/>
      <c r="BH90" s="71"/>
      <c r="BI90" s="71"/>
      <c r="BJ90" s="71"/>
      <c r="BK90" s="71"/>
      <c r="BL90" s="71"/>
      <c r="BM90" s="71"/>
      <c r="BN90" s="105"/>
      <c r="BO90" s="97"/>
      <c r="BP90" s="98"/>
      <c r="BQ90" s="99"/>
      <c r="CI90" s="100"/>
      <c r="DA90" s="101"/>
      <c r="DB90" s="71"/>
      <c r="DC90" s="71"/>
      <c r="DD90" s="71"/>
      <c r="DE90" s="71"/>
      <c r="DF90" s="71"/>
      <c r="DG90" s="71"/>
      <c r="DH90" s="71"/>
      <c r="DI90" s="71"/>
      <c r="DJ90" s="71"/>
      <c r="DK90" s="71"/>
      <c r="DL90" s="71"/>
      <c r="DM90" s="71"/>
      <c r="DN90" s="71"/>
      <c r="DO90" s="71"/>
      <c r="DP90" s="71"/>
      <c r="DQ90" s="105"/>
      <c r="DR90" s="97"/>
      <c r="DS90" s="98"/>
      <c r="DT90" s="99"/>
      <c r="EL90" s="100"/>
      <c r="FD90" s="101"/>
      <c r="FT90" s="97"/>
      <c r="FU90" s="97"/>
      <c r="FV90" s="98"/>
      <c r="FW90" s="99"/>
      <c r="GO90" s="100"/>
      <c r="HG90" s="122"/>
      <c r="HW90" s="97"/>
      <c r="HX90" s="97"/>
      <c r="HY90" s="102"/>
    </row>
    <row r="91" spans="2:233" s="26" customFormat="1">
      <c r="B91" s="99"/>
      <c r="D91" s="104"/>
      <c r="L91" s="104"/>
      <c r="N91" s="99"/>
      <c r="AF91" s="100"/>
      <c r="AX91" s="122"/>
      <c r="AY91" s="71"/>
      <c r="AZ91" s="71"/>
      <c r="BA91" s="71"/>
      <c r="BB91" s="71"/>
      <c r="BC91" s="71"/>
      <c r="BD91" s="71"/>
      <c r="BE91" s="71"/>
      <c r="BF91" s="71"/>
      <c r="BG91" s="71"/>
      <c r="BH91" s="71"/>
      <c r="BI91" s="71"/>
      <c r="BJ91" s="71"/>
      <c r="BK91" s="71"/>
      <c r="BL91" s="71"/>
      <c r="BM91" s="71"/>
      <c r="BN91" s="105"/>
      <c r="BO91" s="97"/>
      <c r="BP91" s="98"/>
      <c r="BQ91" s="99"/>
      <c r="CI91" s="100"/>
      <c r="DA91" s="101"/>
      <c r="DB91" s="71"/>
      <c r="DC91" s="71"/>
      <c r="DD91" s="71"/>
      <c r="DE91" s="71"/>
      <c r="DF91" s="71"/>
      <c r="DG91" s="71"/>
      <c r="DH91" s="71"/>
      <c r="DI91" s="71"/>
      <c r="DJ91" s="71"/>
      <c r="DK91" s="71"/>
      <c r="DL91" s="71"/>
      <c r="DM91" s="71"/>
      <c r="DN91" s="71"/>
      <c r="DO91" s="71"/>
      <c r="DP91" s="71"/>
      <c r="DQ91" s="105"/>
      <c r="DR91" s="97"/>
      <c r="DS91" s="98"/>
      <c r="DT91" s="99"/>
      <c r="EL91" s="100"/>
      <c r="FD91" s="101"/>
      <c r="FT91" s="97"/>
      <c r="FU91" s="97"/>
      <c r="FV91" s="98"/>
      <c r="FW91" s="99"/>
      <c r="GO91" s="100"/>
      <c r="HG91" s="122"/>
      <c r="HW91" s="97"/>
      <c r="HX91" s="97"/>
      <c r="HY91" s="102"/>
    </row>
    <row r="92" spans="2:233" s="26" customFormat="1">
      <c r="B92" s="99"/>
      <c r="D92" s="104"/>
      <c r="L92" s="104"/>
      <c r="N92" s="99"/>
      <c r="AF92" s="100"/>
      <c r="AX92" s="122"/>
      <c r="AY92" s="71"/>
      <c r="AZ92" s="71"/>
      <c r="BA92" s="71"/>
      <c r="BB92" s="71"/>
      <c r="BC92" s="71"/>
      <c r="BD92" s="71"/>
      <c r="BE92" s="71"/>
      <c r="BF92" s="71"/>
      <c r="BG92" s="71"/>
      <c r="BH92" s="71"/>
      <c r="BI92" s="71"/>
      <c r="BJ92" s="71"/>
      <c r="BK92" s="71"/>
      <c r="BL92" s="71"/>
      <c r="BM92" s="71"/>
      <c r="BN92" s="105"/>
      <c r="BO92" s="97"/>
      <c r="BP92" s="98"/>
      <c r="BQ92" s="99"/>
      <c r="CI92" s="100"/>
      <c r="DA92" s="101"/>
      <c r="DB92" s="71"/>
      <c r="DC92" s="71"/>
      <c r="DD92" s="71"/>
      <c r="DE92" s="71"/>
      <c r="DF92" s="71"/>
      <c r="DG92" s="71"/>
      <c r="DH92" s="71"/>
      <c r="DI92" s="71"/>
      <c r="DJ92" s="71"/>
      <c r="DK92" s="71"/>
      <c r="DL92" s="71"/>
      <c r="DM92" s="71"/>
      <c r="DN92" s="71"/>
      <c r="DO92" s="71"/>
      <c r="DP92" s="71"/>
      <c r="DQ92" s="105"/>
      <c r="DR92" s="97"/>
      <c r="DS92" s="98"/>
      <c r="DT92" s="99"/>
      <c r="EL92" s="100"/>
      <c r="FD92" s="101"/>
      <c r="FT92" s="97"/>
      <c r="FU92" s="97"/>
      <c r="FV92" s="98"/>
      <c r="FW92" s="99"/>
      <c r="GO92" s="100"/>
      <c r="HG92" s="122"/>
      <c r="HW92" s="97"/>
      <c r="HX92" s="97"/>
      <c r="HY92" s="102"/>
    </row>
    <row r="93" spans="2:233" s="26" customFormat="1">
      <c r="B93" s="99"/>
      <c r="D93" s="104"/>
      <c r="L93" s="104"/>
      <c r="N93" s="99"/>
      <c r="AF93" s="100"/>
      <c r="AX93" s="122"/>
      <c r="AY93" s="71"/>
      <c r="AZ93" s="71"/>
      <c r="BA93" s="71"/>
      <c r="BB93" s="71"/>
      <c r="BC93" s="71"/>
      <c r="BD93" s="71"/>
      <c r="BE93" s="71"/>
      <c r="BF93" s="71"/>
      <c r="BG93" s="71"/>
      <c r="BH93" s="71"/>
      <c r="BI93" s="71"/>
      <c r="BJ93" s="71"/>
      <c r="BK93" s="71"/>
      <c r="BL93" s="71"/>
      <c r="BM93" s="71"/>
      <c r="BN93" s="105"/>
      <c r="BO93" s="97"/>
      <c r="BP93" s="98"/>
      <c r="BQ93" s="99"/>
      <c r="CI93" s="100"/>
      <c r="DA93" s="101"/>
      <c r="DB93" s="71"/>
      <c r="DC93" s="71"/>
      <c r="DD93" s="71"/>
      <c r="DE93" s="71"/>
      <c r="DF93" s="71"/>
      <c r="DG93" s="71"/>
      <c r="DH93" s="71"/>
      <c r="DI93" s="71"/>
      <c r="DJ93" s="71"/>
      <c r="DK93" s="71"/>
      <c r="DL93" s="71"/>
      <c r="DM93" s="71"/>
      <c r="DN93" s="71"/>
      <c r="DO93" s="71"/>
      <c r="DP93" s="71"/>
      <c r="DQ93" s="105"/>
      <c r="DR93" s="97"/>
      <c r="DS93" s="98"/>
      <c r="DT93" s="99"/>
      <c r="EL93" s="100"/>
      <c r="FD93" s="101"/>
      <c r="FT93" s="97"/>
      <c r="FU93" s="97"/>
      <c r="FV93" s="98"/>
      <c r="FW93" s="99"/>
      <c r="GO93" s="100"/>
      <c r="HG93" s="122"/>
      <c r="HW93" s="97"/>
      <c r="HX93" s="97"/>
      <c r="HY93" s="102"/>
    </row>
    <row r="94" spans="2:233" s="26" customFormat="1">
      <c r="B94" s="99"/>
      <c r="D94" s="104"/>
      <c r="L94" s="104"/>
      <c r="N94" s="99"/>
      <c r="AF94" s="100"/>
      <c r="AX94" s="122"/>
      <c r="AY94" s="71"/>
      <c r="AZ94" s="71"/>
      <c r="BA94" s="71"/>
      <c r="BB94" s="71"/>
      <c r="BC94" s="71"/>
      <c r="BD94" s="71"/>
      <c r="BE94" s="71"/>
      <c r="BF94" s="71"/>
      <c r="BG94" s="71"/>
      <c r="BH94" s="71"/>
      <c r="BI94" s="71"/>
      <c r="BJ94" s="71"/>
      <c r="BK94" s="71"/>
      <c r="BL94" s="71"/>
      <c r="BM94" s="71"/>
      <c r="BN94" s="105"/>
      <c r="BO94" s="97"/>
      <c r="BP94" s="98"/>
      <c r="BQ94" s="99"/>
      <c r="CI94" s="100"/>
      <c r="DA94" s="101"/>
      <c r="DB94" s="71"/>
      <c r="DC94" s="71"/>
      <c r="DD94" s="71"/>
      <c r="DE94" s="71"/>
      <c r="DF94" s="71"/>
      <c r="DG94" s="71"/>
      <c r="DH94" s="71"/>
      <c r="DI94" s="71"/>
      <c r="DJ94" s="71"/>
      <c r="DK94" s="71"/>
      <c r="DL94" s="71"/>
      <c r="DM94" s="71"/>
      <c r="DN94" s="71"/>
      <c r="DO94" s="71"/>
      <c r="DP94" s="71"/>
      <c r="DQ94" s="105"/>
      <c r="DR94" s="97"/>
      <c r="DS94" s="98"/>
      <c r="DT94" s="99"/>
      <c r="EL94" s="100"/>
      <c r="FD94" s="101"/>
      <c r="FT94" s="97"/>
      <c r="FU94" s="97"/>
      <c r="FV94" s="98"/>
      <c r="FW94" s="99"/>
      <c r="GO94" s="100"/>
      <c r="HG94" s="122"/>
      <c r="HW94" s="97"/>
      <c r="HX94" s="97"/>
      <c r="HY94" s="102"/>
    </row>
    <row r="95" spans="2:233" s="26" customFormat="1">
      <c r="B95" s="99"/>
      <c r="D95" s="104"/>
      <c r="L95" s="104"/>
      <c r="N95" s="99"/>
      <c r="AF95" s="100"/>
      <c r="AX95" s="122"/>
      <c r="AY95" s="71"/>
      <c r="AZ95" s="71"/>
      <c r="BA95" s="71"/>
      <c r="BB95" s="71"/>
      <c r="BC95" s="71"/>
      <c r="BD95" s="71"/>
      <c r="BE95" s="71"/>
      <c r="BF95" s="71"/>
      <c r="BG95" s="71"/>
      <c r="BH95" s="71"/>
      <c r="BI95" s="71"/>
      <c r="BJ95" s="71"/>
      <c r="BK95" s="71"/>
      <c r="BL95" s="71"/>
      <c r="BM95" s="71"/>
      <c r="BN95" s="105"/>
      <c r="BO95" s="97"/>
      <c r="BP95" s="98"/>
      <c r="BQ95" s="99"/>
      <c r="CI95" s="100"/>
      <c r="DA95" s="101"/>
      <c r="DB95" s="71"/>
      <c r="DC95" s="71"/>
      <c r="DD95" s="71"/>
      <c r="DE95" s="71"/>
      <c r="DF95" s="71"/>
      <c r="DG95" s="71"/>
      <c r="DH95" s="71"/>
      <c r="DI95" s="71"/>
      <c r="DJ95" s="71"/>
      <c r="DK95" s="71"/>
      <c r="DL95" s="71"/>
      <c r="DM95" s="71"/>
      <c r="DN95" s="71"/>
      <c r="DO95" s="71"/>
      <c r="DP95" s="71"/>
      <c r="DQ95" s="105"/>
      <c r="DR95" s="97"/>
      <c r="DS95" s="98"/>
      <c r="DT95" s="99"/>
      <c r="EL95" s="100"/>
      <c r="FD95" s="101"/>
      <c r="FT95" s="97"/>
      <c r="FU95" s="97"/>
      <c r="FV95" s="98"/>
      <c r="FW95" s="99"/>
      <c r="GO95" s="100"/>
      <c r="HG95" s="122"/>
      <c r="HW95" s="97"/>
      <c r="HX95" s="97"/>
      <c r="HY95" s="102"/>
    </row>
    <row r="96" spans="2:233" s="26" customFormat="1">
      <c r="B96" s="99"/>
      <c r="D96" s="104"/>
      <c r="L96" s="104"/>
      <c r="N96" s="99"/>
      <c r="AF96" s="100"/>
      <c r="AX96" s="122"/>
      <c r="AY96" s="71"/>
      <c r="AZ96" s="71"/>
      <c r="BA96" s="71"/>
      <c r="BB96" s="71"/>
      <c r="BC96" s="71"/>
      <c r="BD96" s="71"/>
      <c r="BE96" s="71"/>
      <c r="BF96" s="71"/>
      <c r="BG96" s="71"/>
      <c r="BH96" s="71"/>
      <c r="BI96" s="71"/>
      <c r="BJ96" s="71"/>
      <c r="BK96" s="71"/>
      <c r="BL96" s="71"/>
      <c r="BM96" s="71"/>
      <c r="BN96" s="105"/>
      <c r="BO96" s="97"/>
      <c r="BP96" s="98"/>
      <c r="BQ96" s="99"/>
      <c r="CI96" s="100"/>
      <c r="DA96" s="101"/>
      <c r="DB96" s="71"/>
      <c r="DC96" s="71"/>
      <c r="DD96" s="71"/>
      <c r="DE96" s="71"/>
      <c r="DF96" s="71"/>
      <c r="DG96" s="71"/>
      <c r="DH96" s="71"/>
      <c r="DI96" s="71"/>
      <c r="DJ96" s="71"/>
      <c r="DK96" s="71"/>
      <c r="DL96" s="71"/>
      <c r="DM96" s="71"/>
      <c r="DN96" s="71"/>
      <c r="DO96" s="71"/>
      <c r="DP96" s="71"/>
      <c r="DQ96" s="105"/>
      <c r="DR96" s="97"/>
      <c r="DS96" s="98"/>
      <c r="DT96" s="99"/>
      <c r="EL96" s="100"/>
      <c r="FD96" s="101"/>
      <c r="FT96" s="97"/>
      <c r="FU96" s="97"/>
      <c r="FV96" s="98"/>
      <c r="FW96" s="99"/>
      <c r="GO96" s="100"/>
      <c r="HG96" s="122"/>
      <c r="HW96" s="97"/>
      <c r="HX96" s="97"/>
      <c r="HY96" s="102"/>
    </row>
    <row r="97" spans="2:233" s="26" customFormat="1">
      <c r="B97" s="99"/>
      <c r="D97" s="104"/>
      <c r="L97" s="104"/>
      <c r="N97" s="99"/>
      <c r="AF97" s="100"/>
      <c r="AX97" s="122"/>
      <c r="AY97" s="71"/>
      <c r="AZ97" s="71"/>
      <c r="BA97" s="71"/>
      <c r="BB97" s="71"/>
      <c r="BC97" s="71"/>
      <c r="BD97" s="71"/>
      <c r="BE97" s="71"/>
      <c r="BF97" s="71"/>
      <c r="BG97" s="71"/>
      <c r="BH97" s="71"/>
      <c r="BI97" s="71"/>
      <c r="BJ97" s="71"/>
      <c r="BK97" s="71"/>
      <c r="BL97" s="71"/>
      <c r="BM97" s="71"/>
      <c r="BN97" s="105"/>
      <c r="BO97" s="97"/>
      <c r="BP97" s="98"/>
      <c r="BQ97" s="99"/>
      <c r="CI97" s="100"/>
      <c r="DA97" s="101"/>
      <c r="DB97" s="71"/>
      <c r="DC97" s="71"/>
      <c r="DD97" s="71"/>
      <c r="DE97" s="71"/>
      <c r="DF97" s="71"/>
      <c r="DG97" s="71"/>
      <c r="DH97" s="71"/>
      <c r="DI97" s="71"/>
      <c r="DJ97" s="71"/>
      <c r="DK97" s="71"/>
      <c r="DL97" s="71"/>
      <c r="DM97" s="71"/>
      <c r="DN97" s="71"/>
      <c r="DO97" s="71"/>
      <c r="DP97" s="71"/>
      <c r="DQ97" s="105"/>
      <c r="DR97" s="97"/>
      <c r="DS97" s="98"/>
      <c r="DT97" s="99"/>
      <c r="EL97" s="100"/>
      <c r="FD97" s="101"/>
      <c r="FT97" s="97"/>
      <c r="FU97" s="97"/>
      <c r="FV97" s="98"/>
      <c r="FW97" s="99"/>
      <c r="GO97" s="100"/>
      <c r="HG97" s="122"/>
      <c r="HW97" s="97"/>
      <c r="HX97" s="97"/>
      <c r="HY97" s="102"/>
    </row>
    <row r="98" spans="2:233" s="26" customFormat="1">
      <c r="B98" s="99"/>
      <c r="D98" s="104"/>
      <c r="L98" s="104"/>
      <c r="N98" s="99"/>
      <c r="AF98" s="100"/>
      <c r="AX98" s="122"/>
      <c r="AY98" s="71"/>
      <c r="AZ98" s="71"/>
      <c r="BA98" s="71"/>
      <c r="BB98" s="71"/>
      <c r="BC98" s="71"/>
      <c r="BD98" s="71"/>
      <c r="BE98" s="71"/>
      <c r="BF98" s="71"/>
      <c r="BG98" s="71"/>
      <c r="BH98" s="71"/>
      <c r="BI98" s="71"/>
      <c r="BJ98" s="71"/>
      <c r="BK98" s="71"/>
      <c r="BL98" s="71"/>
      <c r="BM98" s="71"/>
      <c r="BN98" s="105"/>
      <c r="BO98" s="97"/>
      <c r="BP98" s="98"/>
      <c r="BQ98" s="99"/>
      <c r="CI98" s="100"/>
      <c r="DA98" s="101"/>
      <c r="DB98" s="71"/>
      <c r="DC98" s="71"/>
      <c r="DD98" s="71"/>
      <c r="DE98" s="71"/>
      <c r="DF98" s="71"/>
      <c r="DG98" s="71"/>
      <c r="DH98" s="71"/>
      <c r="DI98" s="71"/>
      <c r="DJ98" s="71"/>
      <c r="DK98" s="71"/>
      <c r="DL98" s="71"/>
      <c r="DM98" s="71"/>
      <c r="DN98" s="71"/>
      <c r="DO98" s="71"/>
      <c r="DP98" s="71"/>
      <c r="DQ98" s="105"/>
      <c r="DR98" s="97"/>
      <c r="DS98" s="98"/>
      <c r="DT98" s="99"/>
      <c r="EL98" s="100"/>
      <c r="FD98" s="101"/>
      <c r="FT98" s="97"/>
      <c r="FU98" s="97"/>
      <c r="FV98" s="98"/>
      <c r="FW98" s="99"/>
      <c r="GO98" s="100"/>
      <c r="HG98" s="122"/>
      <c r="HW98" s="97"/>
      <c r="HX98" s="97"/>
      <c r="HY98" s="102"/>
    </row>
    <row r="99" spans="2:233" s="26" customFormat="1">
      <c r="B99" s="99"/>
      <c r="D99" s="104"/>
      <c r="L99" s="104"/>
      <c r="N99" s="99"/>
      <c r="AF99" s="100"/>
      <c r="AX99" s="122"/>
      <c r="AY99" s="71"/>
      <c r="AZ99" s="71"/>
      <c r="BA99" s="71"/>
      <c r="BB99" s="71"/>
      <c r="BC99" s="71"/>
      <c r="BD99" s="71"/>
      <c r="BE99" s="71"/>
      <c r="BF99" s="71"/>
      <c r="BG99" s="71"/>
      <c r="BH99" s="71"/>
      <c r="BI99" s="71"/>
      <c r="BJ99" s="71"/>
      <c r="BK99" s="71"/>
      <c r="BL99" s="71"/>
      <c r="BM99" s="71"/>
      <c r="BN99" s="105"/>
      <c r="BO99" s="97"/>
      <c r="BP99" s="98"/>
      <c r="BQ99" s="99"/>
      <c r="CI99" s="100"/>
      <c r="DA99" s="101"/>
      <c r="DB99" s="71"/>
      <c r="DC99" s="71"/>
      <c r="DD99" s="71"/>
      <c r="DE99" s="71"/>
      <c r="DF99" s="71"/>
      <c r="DG99" s="71"/>
      <c r="DH99" s="71"/>
      <c r="DI99" s="71"/>
      <c r="DJ99" s="71"/>
      <c r="DK99" s="71"/>
      <c r="DL99" s="71"/>
      <c r="DM99" s="71"/>
      <c r="DN99" s="71"/>
      <c r="DO99" s="71"/>
      <c r="DP99" s="71"/>
      <c r="DQ99" s="105"/>
      <c r="DR99" s="97"/>
      <c r="DS99" s="98"/>
      <c r="DT99" s="99"/>
      <c r="EL99" s="100"/>
      <c r="FD99" s="101"/>
      <c r="FT99" s="97"/>
      <c r="FU99" s="97"/>
      <c r="FV99" s="98"/>
      <c r="FW99" s="99"/>
      <c r="GO99" s="100"/>
      <c r="HG99" s="122"/>
      <c r="HW99" s="97"/>
      <c r="HX99" s="97"/>
      <c r="HY99" s="102"/>
    </row>
    <row r="100" spans="2:233" s="26" customFormat="1">
      <c r="B100" s="99"/>
      <c r="D100" s="104"/>
      <c r="L100" s="104"/>
      <c r="N100" s="99"/>
      <c r="AF100" s="100"/>
      <c r="AX100" s="122"/>
      <c r="AY100" s="71"/>
      <c r="AZ100" s="71"/>
      <c r="BA100" s="71"/>
      <c r="BB100" s="71"/>
      <c r="BC100" s="71"/>
      <c r="BD100" s="71"/>
      <c r="BE100" s="71"/>
      <c r="BF100" s="71"/>
      <c r="BG100" s="71"/>
      <c r="BH100" s="71"/>
      <c r="BI100" s="71"/>
      <c r="BJ100" s="71"/>
      <c r="BK100" s="71"/>
      <c r="BL100" s="71"/>
      <c r="BM100" s="71"/>
      <c r="BN100" s="105"/>
      <c r="BO100" s="97"/>
      <c r="BP100" s="98"/>
      <c r="BQ100" s="99"/>
      <c r="CI100" s="100"/>
      <c r="DA100" s="101"/>
      <c r="DB100" s="71"/>
      <c r="DC100" s="71"/>
      <c r="DD100" s="71"/>
      <c r="DE100" s="71"/>
      <c r="DF100" s="71"/>
      <c r="DG100" s="71"/>
      <c r="DH100" s="71"/>
      <c r="DI100" s="71"/>
      <c r="DJ100" s="71"/>
      <c r="DK100" s="71"/>
      <c r="DL100" s="71"/>
      <c r="DM100" s="71"/>
      <c r="DN100" s="71"/>
      <c r="DO100" s="71"/>
      <c r="DP100" s="71"/>
      <c r="DQ100" s="105"/>
      <c r="DR100" s="97"/>
      <c r="DS100" s="98"/>
      <c r="DT100" s="99"/>
      <c r="EL100" s="100"/>
      <c r="FD100" s="101"/>
      <c r="FT100" s="97"/>
      <c r="FU100" s="97"/>
      <c r="FV100" s="98"/>
      <c r="FW100" s="99"/>
      <c r="GO100" s="100"/>
      <c r="HG100" s="122"/>
      <c r="HW100" s="97"/>
      <c r="HX100" s="97"/>
      <c r="HY100" s="102"/>
    </row>
    <row r="101" spans="2:233" s="26" customFormat="1">
      <c r="B101" s="99"/>
      <c r="D101" s="104"/>
      <c r="L101" s="104"/>
      <c r="N101" s="99"/>
      <c r="AF101" s="100"/>
      <c r="AX101" s="122"/>
      <c r="AY101" s="71"/>
      <c r="AZ101" s="71"/>
      <c r="BA101" s="71"/>
      <c r="BB101" s="71"/>
      <c r="BC101" s="71"/>
      <c r="BD101" s="71"/>
      <c r="BE101" s="71"/>
      <c r="BF101" s="71"/>
      <c r="BG101" s="71"/>
      <c r="BH101" s="71"/>
      <c r="BI101" s="71"/>
      <c r="BJ101" s="71"/>
      <c r="BK101" s="71"/>
      <c r="BL101" s="71"/>
      <c r="BM101" s="71"/>
      <c r="BN101" s="105"/>
      <c r="BO101" s="97"/>
      <c r="BP101" s="98"/>
      <c r="BQ101" s="99"/>
      <c r="CI101" s="100"/>
      <c r="DA101" s="101"/>
      <c r="DB101" s="71"/>
      <c r="DC101" s="71"/>
      <c r="DD101" s="71"/>
      <c r="DE101" s="71"/>
      <c r="DF101" s="71"/>
      <c r="DG101" s="71"/>
      <c r="DH101" s="71"/>
      <c r="DI101" s="71"/>
      <c r="DJ101" s="71"/>
      <c r="DK101" s="71"/>
      <c r="DL101" s="71"/>
      <c r="DM101" s="71"/>
      <c r="DN101" s="71"/>
      <c r="DO101" s="71"/>
      <c r="DP101" s="71"/>
      <c r="DQ101" s="105"/>
      <c r="DR101" s="97"/>
      <c r="DS101" s="98"/>
      <c r="DT101" s="99"/>
      <c r="EL101" s="100"/>
      <c r="FD101" s="101"/>
      <c r="FT101" s="97"/>
      <c r="FU101" s="97"/>
      <c r="FV101" s="98"/>
      <c r="FW101" s="99"/>
      <c r="GO101" s="100"/>
      <c r="HG101" s="122"/>
      <c r="HW101" s="97"/>
      <c r="HX101" s="97"/>
      <c r="HY101" s="102"/>
    </row>
    <row r="102" spans="2:233" s="26" customFormat="1">
      <c r="B102" s="99"/>
      <c r="D102" s="104"/>
      <c r="L102" s="104"/>
      <c r="N102" s="99"/>
      <c r="AF102" s="100"/>
      <c r="AX102" s="122"/>
      <c r="AY102" s="71"/>
      <c r="AZ102" s="71"/>
      <c r="BA102" s="71"/>
      <c r="BB102" s="71"/>
      <c r="BC102" s="71"/>
      <c r="BD102" s="71"/>
      <c r="BE102" s="71"/>
      <c r="BF102" s="71"/>
      <c r="BG102" s="71"/>
      <c r="BH102" s="71"/>
      <c r="BI102" s="71"/>
      <c r="BJ102" s="71"/>
      <c r="BK102" s="71"/>
      <c r="BL102" s="71"/>
      <c r="BM102" s="71"/>
      <c r="BN102" s="105"/>
      <c r="BO102" s="97"/>
      <c r="BP102" s="98"/>
      <c r="BQ102" s="99"/>
      <c r="CI102" s="100"/>
      <c r="DA102" s="101"/>
      <c r="DB102" s="71"/>
      <c r="DC102" s="71"/>
      <c r="DD102" s="71"/>
      <c r="DE102" s="71"/>
      <c r="DF102" s="71"/>
      <c r="DG102" s="71"/>
      <c r="DH102" s="71"/>
      <c r="DI102" s="71"/>
      <c r="DJ102" s="71"/>
      <c r="DK102" s="71"/>
      <c r="DL102" s="71"/>
      <c r="DM102" s="71"/>
      <c r="DN102" s="71"/>
      <c r="DO102" s="71"/>
      <c r="DP102" s="71"/>
      <c r="DQ102" s="105"/>
      <c r="DR102" s="97"/>
      <c r="DS102" s="98"/>
      <c r="DT102" s="99"/>
      <c r="EL102" s="100"/>
      <c r="FD102" s="101"/>
      <c r="FT102" s="97"/>
      <c r="FU102" s="97"/>
      <c r="FV102" s="98"/>
      <c r="FW102" s="99"/>
      <c r="GO102" s="100"/>
      <c r="HG102" s="122"/>
      <c r="HW102" s="97"/>
      <c r="HX102" s="97"/>
      <c r="HY102" s="102"/>
    </row>
    <row r="103" spans="2:233" s="26" customFormat="1">
      <c r="B103" s="99"/>
      <c r="D103" s="104"/>
      <c r="L103" s="104"/>
      <c r="N103" s="99"/>
      <c r="AF103" s="100"/>
      <c r="AX103" s="122"/>
      <c r="AY103" s="71"/>
      <c r="AZ103" s="71"/>
      <c r="BA103" s="71"/>
      <c r="BB103" s="71"/>
      <c r="BC103" s="71"/>
      <c r="BD103" s="71"/>
      <c r="BE103" s="71"/>
      <c r="BF103" s="71"/>
      <c r="BG103" s="71"/>
      <c r="BH103" s="71"/>
      <c r="BI103" s="71"/>
      <c r="BJ103" s="71"/>
      <c r="BK103" s="71"/>
      <c r="BL103" s="71"/>
      <c r="BM103" s="71"/>
      <c r="BN103" s="105"/>
      <c r="BO103" s="97"/>
      <c r="BP103" s="98"/>
      <c r="BQ103" s="99"/>
      <c r="CI103" s="100"/>
      <c r="DA103" s="101"/>
      <c r="DB103" s="71"/>
      <c r="DC103" s="71"/>
      <c r="DD103" s="71"/>
      <c r="DE103" s="71"/>
      <c r="DF103" s="71"/>
      <c r="DG103" s="71"/>
      <c r="DH103" s="71"/>
      <c r="DI103" s="71"/>
      <c r="DJ103" s="71"/>
      <c r="DK103" s="71"/>
      <c r="DL103" s="71"/>
      <c r="DM103" s="71"/>
      <c r="DN103" s="71"/>
      <c r="DO103" s="71"/>
      <c r="DP103" s="71"/>
      <c r="DQ103" s="105"/>
      <c r="DR103" s="97"/>
      <c r="DS103" s="98"/>
      <c r="DT103" s="99"/>
      <c r="EL103" s="100"/>
      <c r="FD103" s="101"/>
      <c r="FT103" s="97"/>
      <c r="FU103" s="97"/>
      <c r="FV103" s="98"/>
      <c r="FW103" s="99"/>
      <c r="GO103" s="100"/>
      <c r="HG103" s="122"/>
      <c r="HW103" s="97"/>
      <c r="HX103" s="97"/>
      <c r="HY103" s="102"/>
    </row>
    <row r="104" spans="2:233" s="26" customFormat="1">
      <c r="B104" s="99"/>
      <c r="D104" s="104"/>
      <c r="L104" s="104"/>
      <c r="N104" s="99"/>
      <c r="AF104" s="100"/>
      <c r="AX104" s="122"/>
      <c r="AY104" s="71"/>
      <c r="AZ104" s="71"/>
      <c r="BA104" s="71"/>
      <c r="BB104" s="71"/>
      <c r="BC104" s="71"/>
      <c r="BD104" s="71"/>
      <c r="BE104" s="71"/>
      <c r="BF104" s="71"/>
      <c r="BG104" s="71"/>
      <c r="BH104" s="71"/>
      <c r="BI104" s="71"/>
      <c r="BJ104" s="71"/>
      <c r="BK104" s="71"/>
      <c r="BL104" s="71"/>
      <c r="BM104" s="71"/>
      <c r="BN104" s="105"/>
      <c r="BO104" s="97"/>
      <c r="BP104" s="98"/>
      <c r="BQ104" s="99"/>
      <c r="CI104" s="100"/>
      <c r="DA104" s="101"/>
      <c r="DB104" s="71"/>
      <c r="DC104" s="71"/>
      <c r="DD104" s="71"/>
      <c r="DE104" s="71"/>
      <c r="DF104" s="71"/>
      <c r="DG104" s="71"/>
      <c r="DH104" s="71"/>
      <c r="DI104" s="71"/>
      <c r="DJ104" s="71"/>
      <c r="DK104" s="71"/>
      <c r="DL104" s="71"/>
      <c r="DM104" s="71"/>
      <c r="DN104" s="71"/>
      <c r="DO104" s="71"/>
      <c r="DP104" s="71"/>
      <c r="DQ104" s="105"/>
      <c r="DR104" s="97"/>
      <c r="DS104" s="98"/>
      <c r="DT104" s="99"/>
      <c r="EL104" s="100"/>
      <c r="FD104" s="101"/>
      <c r="FT104" s="97"/>
      <c r="FU104" s="97"/>
      <c r="FV104" s="98"/>
      <c r="FW104" s="99"/>
      <c r="GO104" s="100"/>
      <c r="HG104" s="122"/>
      <c r="HW104" s="97"/>
      <c r="HX104" s="97"/>
      <c r="HY104" s="102"/>
    </row>
    <row r="105" spans="2:233" s="26" customFormat="1">
      <c r="B105" s="99"/>
      <c r="D105" s="104"/>
      <c r="L105" s="104"/>
      <c r="N105" s="99"/>
      <c r="AF105" s="100"/>
      <c r="AX105" s="122"/>
      <c r="AY105" s="71"/>
      <c r="AZ105" s="71"/>
      <c r="BA105" s="71"/>
      <c r="BB105" s="71"/>
      <c r="BC105" s="71"/>
      <c r="BD105" s="71"/>
      <c r="BE105" s="71"/>
      <c r="BF105" s="71"/>
      <c r="BG105" s="71"/>
      <c r="BH105" s="71"/>
      <c r="BI105" s="71"/>
      <c r="BJ105" s="71"/>
      <c r="BK105" s="71"/>
      <c r="BL105" s="71"/>
      <c r="BM105" s="71"/>
      <c r="BN105" s="105"/>
      <c r="BO105" s="97"/>
      <c r="BP105" s="98"/>
      <c r="BQ105" s="99"/>
      <c r="CI105" s="100"/>
      <c r="DA105" s="101"/>
      <c r="DB105" s="71"/>
      <c r="DC105" s="71"/>
      <c r="DD105" s="71"/>
      <c r="DE105" s="71"/>
      <c r="DF105" s="71"/>
      <c r="DG105" s="71"/>
      <c r="DH105" s="71"/>
      <c r="DI105" s="71"/>
      <c r="DJ105" s="71"/>
      <c r="DK105" s="71"/>
      <c r="DL105" s="71"/>
      <c r="DM105" s="71"/>
      <c r="DN105" s="71"/>
      <c r="DO105" s="71"/>
      <c r="DP105" s="71"/>
      <c r="DQ105" s="105"/>
      <c r="DR105" s="97"/>
      <c r="DS105" s="98"/>
      <c r="DT105" s="99"/>
      <c r="EL105" s="100"/>
      <c r="FD105" s="101"/>
      <c r="FT105" s="97"/>
      <c r="FU105" s="97"/>
      <c r="FV105" s="98"/>
      <c r="FW105" s="99"/>
      <c r="GO105" s="100"/>
      <c r="HG105" s="122"/>
      <c r="HW105" s="97"/>
      <c r="HX105" s="97"/>
      <c r="HY105" s="102"/>
    </row>
    <row r="106" spans="2:233" s="26" customFormat="1">
      <c r="B106" s="99"/>
      <c r="D106" s="104"/>
      <c r="L106" s="104"/>
      <c r="N106" s="99"/>
      <c r="AF106" s="100"/>
      <c r="AX106" s="122"/>
      <c r="AY106" s="71"/>
      <c r="AZ106" s="71"/>
      <c r="BA106" s="71"/>
      <c r="BB106" s="71"/>
      <c r="BC106" s="71"/>
      <c r="BD106" s="71"/>
      <c r="BE106" s="71"/>
      <c r="BF106" s="71"/>
      <c r="BG106" s="71"/>
      <c r="BH106" s="71"/>
      <c r="BI106" s="71"/>
      <c r="BJ106" s="71"/>
      <c r="BK106" s="71"/>
      <c r="BL106" s="71"/>
      <c r="BM106" s="71"/>
      <c r="BN106" s="105"/>
      <c r="BO106" s="97"/>
      <c r="BP106" s="98"/>
      <c r="BQ106" s="99"/>
      <c r="CI106" s="100"/>
      <c r="DA106" s="101"/>
      <c r="DB106" s="71"/>
      <c r="DC106" s="71"/>
      <c r="DD106" s="71"/>
      <c r="DE106" s="71"/>
      <c r="DF106" s="71"/>
      <c r="DG106" s="71"/>
      <c r="DH106" s="71"/>
      <c r="DI106" s="71"/>
      <c r="DJ106" s="71"/>
      <c r="DK106" s="71"/>
      <c r="DL106" s="71"/>
      <c r="DM106" s="71"/>
      <c r="DN106" s="71"/>
      <c r="DO106" s="71"/>
      <c r="DP106" s="71"/>
      <c r="DQ106" s="105"/>
      <c r="DR106" s="97"/>
      <c r="DS106" s="98"/>
      <c r="DT106" s="99"/>
      <c r="EL106" s="100"/>
      <c r="FD106" s="101"/>
      <c r="FT106" s="97"/>
      <c r="FU106" s="97"/>
      <c r="FV106" s="98"/>
      <c r="FW106" s="99"/>
      <c r="GO106" s="100"/>
      <c r="HG106" s="122"/>
      <c r="HW106" s="97"/>
      <c r="HX106" s="97"/>
      <c r="HY106" s="10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6CBF6-79ED-40BE-AF4D-630F74AF692C}">
  <dimension ref="A1:IP106"/>
  <sheetViews>
    <sheetView workbookViewId="0">
      <selection activeCell="L2" sqref="L2"/>
    </sheetView>
  </sheetViews>
  <sheetFormatPr defaultRowHeight="15.75" outlineLevelCol="1"/>
  <cols>
    <col min="1" max="1" width="18.875" customWidth="1"/>
    <col min="2" max="2" width="10.875" style="3" customWidth="1"/>
    <col min="3" max="3" width="28.625" customWidth="1"/>
    <col min="4" max="4" width="10" style="21" customWidth="1"/>
    <col min="5" max="5" width="13" customWidth="1"/>
    <col min="6" max="6" width="4" customWidth="1"/>
    <col min="7" max="7" width="7.125" customWidth="1"/>
    <col min="8" max="8" width="8.375" customWidth="1"/>
    <col min="9" max="9" width="10.875" customWidth="1"/>
    <col min="10" max="10" width="12" customWidth="1"/>
    <col min="11" max="11" width="22.75" customWidth="1"/>
    <col min="12" max="12" width="28.5" style="21" customWidth="1"/>
    <col min="13" max="13" width="15.125" customWidth="1"/>
    <col min="14" max="14" width="11.25" style="3" customWidth="1"/>
    <col min="15" max="15" width="7.625" hidden="1" customWidth="1" outlineLevel="1"/>
    <col min="16" max="16" width="14.5" hidden="1" customWidth="1" outlineLevel="1"/>
    <col min="17" max="17" width="15.375" hidden="1" customWidth="1" outlineLevel="1"/>
    <col min="18" max="18" width="26.125" hidden="1" customWidth="1" outlineLevel="1"/>
    <col min="19" max="19" width="32.875" hidden="1" customWidth="1" outlineLevel="1"/>
    <col min="20" max="20" width="4.125" customWidth="1" collapsed="1"/>
    <col min="21" max="29" width="11.125" hidden="1" customWidth="1" outlineLevel="1"/>
    <col min="30" max="31" width="12.125" hidden="1" customWidth="1" outlineLevel="1"/>
    <col min="32" max="32" width="15" style="13" bestFit="1" customWidth="1" collapsed="1"/>
    <col min="33" max="41" width="11" hidden="1" customWidth="1" outlineLevel="1"/>
    <col min="42" max="49" width="12" hidden="1" customWidth="1" outlineLevel="1"/>
    <col min="50" max="50" width="14.875" style="123" bestFit="1" customWidth="1" collapsed="1"/>
    <col min="51" max="51" width="14.75" style="6" hidden="1" customWidth="1" outlineLevel="1"/>
    <col min="52" max="52" width="15.875" style="6" hidden="1" customWidth="1" outlineLevel="1"/>
    <col min="53" max="53" width="14.25" style="6" hidden="1" customWidth="1" outlineLevel="1"/>
    <col min="54" max="54" width="14.75" style="6" hidden="1" customWidth="1" outlineLevel="1"/>
    <col min="55" max="55" width="13.875" style="6" hidden="1" customWidth="1" outlineLevel="1"/>
    <col min="56" max="56" width="15" style="6" hidden="1" customWidth="1" outlineLevel="1"/>
    <col min="57" max="57" width="13.375" style="6" hidden="1" customWidth="1" outlineLevel="1"/>
    <col min="58" max="58" width="13.875" style="6" hidden="1" customWidth="1" outlineLevel="1"/>
    <col min="59" max="59" width="13.625" style="6" hidden="1" customWidth="1" outlineLevel="1"/>
    <col min="60" max="60" width="14.75" style="6" hidden="1" customWidth="1" outlineLevel="1"/>
    <col min="61" max="61" width="13.125" style="6" hidden="1" customWidth="1" outlineLevel="1"/>
    <col min="62" max="62" width="13.625" style="6" hidden="1" customWidth="1" outlineLevel="1"/>
    <col min="63" max="63" width="15.375" style="6" hidden="1" customWidth="1" outlineLevel="1"/>
    <col min="64" max="64" width="13.75" style="6" hidden="1" customWidth="1" outlineLevel="1"/>
    <col min="65" max="65" width="14.25" style="6" hidden="1" customWidth="1" outlineLevel="1"/>
    <col min="66" max="66" width="12.75" style="14" customWidth="1" collapsed="1"/>
    <col min="67" max="67" width="32.25" style="16" customWidth="1"/>
    <col min="68" max="68" width="38.5" style="98" customWidth="1"/>
    <col min="69" max="69" width="10" style="3" customWidth="1"/>
    <col min="70" max="70" width="8" hidden="1" customWidth="1" outlineLevel="1"/>
    <col min="71" max="71" width="14.5" hidden="1" customWidth="1" outlineLevel="1"/>
    <col min="72" max="72" width="15.375" hidden="1" customWidth="1" outlineLevel="1"/>
    <col min="73" max="73" width="13.375" hidden="1" customWidth="1" outlineLevel="1"/>
    <col min="74" max="74" width="25.25" hidden="1" customWidth="1" outlineLevel="1"/>
    <col min="75" max="75" width="3.125" customWidth="1" collapsed="1"/>
    <col min="76" max="84" width="11.125" hidden="1" customWidth="1" outlineLevel="1"/>
    <col min="85" max="86" width="12.125" hidden="1" customWidth="1" outlineLevel="1"/>
    <col min="87" max="87" width="15" style="13" customWidth="1" collapsed="1"/>
    <col min="88" max="96" width="11" hidden="1" customWidth="1" outlineLevel="1"/>
    <col min="97" max="104" width="12" hidden="1" customWidth="1" outlineLevel="1"/>
    <col min="105" max="105" width="14.875" style="9" bestFit="1" customWidth="1" collapsed="1"/>
    <col min="106" max="106" width="14.75" style="6" hidden="1" customWidth="1" outlineLevel="1"/>
    <col min="107" max="107" width="15.875" style="6" hidden="1" customWidth="1" outlineLevel="1"/>
    <col min="108" max="108" width="14.25" style="6" hidden="1" customWidth="1" outlineLevel="1"/>
    <col min="109" max="109" width="14.75" style="6" hidden="1" customWidth="1" outlineLevel="1"/>
    <col min="110" max="110" width="13.875" style="6" hidden="1" customWidth="1" outlineLevel="1"/>
    <col min="111" max="111" width="15" style="6" hidden="1" customWidth="1" outlineLevel="1"/>
    <col min="112" max="112" width="13.375" style="6" hidden="1" customWidth="1" outlineLevel="1"/>
    <col min="113" max="113" width="13.875" style="6" hidden="1" customWidth="1" outlineLevel="1"/>
    <col min="114" max="114" width="13.625" style="6" hidden="1" customWidth="1" outlineLevel="1"/>
    <col min="115" max="115" width="14.75" style="6" hidden="1" customWidth="1" outlineLevel="1"/>
    <col min="116" max="116" width="13.125" style="6" hidden="1" customWidth="1" outlineLevel="1"/>
    <col min="117" max="117" width="13.625" style="6" hidden="1" customWidth="1" outlineLevel="1"/>
    <col min="118" max="118" width="15.375" style="6" hidden="1" customWidth="1" outlineLevel="1"/>
    <col min="119" max="119" width="13.75" style="6" hidden="1" customWidth="1" outlineLevel="1"/>
    <col min="120" max="120" width="14.25" style="6" hidden="1" customWidth="1" outlineLevel="1"/>
    <col min="121" max="121" width="12.75" style="14" customWidth="1" collapsed="1"/>
    <col min="122" max="122" width="19.875" style="16" customWidth="1"/>
    <col min="123" max="123" width="34.875" style="19" customWidth="1"/>
    <col min="124" max="124" width="10" style="3" customWidth="1"/>
    <col min="125" max="125" width="7.625" hidden="1" customWidth="1" outlineLevel="1"/>
    <col min="126" max="126" width="14.5" hidden="1" customWidth="1" outlineLevel="1"/>
    <col min="127" max="127" width="15.375" hidden="1" customWidth="1" outlineLevel="1"/>
    <col min="128" max="128" width="13.375" hidden="1" customWidth="1" outlineLevel="1"/>
    <col min="129" max="129" width="25.875" hidden="1" customWidth="1" outlineLevel="1"/>
    <col min="130" max="130" width="3.625" customWidth="1" collapsed="1"/>
    <col min="131" max="139" width="11.125" hidden="1" customWidth="1" outlineLevel="1"/>
    <col min="140" max="141" width="12.125" hidden="1" customWidth="1" outlineLevel="1"/>
    <col min="142" max="142" width="15" style="13" bestFit="1" customWidth="1" collapsed="1"/>
    <col min="143" max="151" width="11" hidden="1" customWidth="1" outlineLevel="1"/>
    <col min="152" max="159" width="12" hidden="1" customWidth="1" outlineLevel="1"/>
    <col min="160" max="160" width="14.875" style="9" bestFit="1" customWidth="1" collapsed="1"/>
    <col min="161" max="161" width="14.75" hidden="1" customWidth="1" outlineLevel="1"/>
    <col min="162" max="162" width="15.875" hidden="1" customWidth="1" outlineLevel="1"/>
    <col min="163" max="163" width="14.25" hidden="1" customWidth="1" outlineLevel="1"/>
    <col min="164" max="164" width="14.75" hidden="1" customWidth="1" outlineLevel="1"/>
    <col min="165" max="165" width="13.875" hidden="1" customWidth="1" outlineLevel="1"/>
    <col min="166" max="166" width="15" hidden="1" customWidth="1" outlineLevel="1"/>
    <col min="167" max="167" width="13.375" hidden="1" customWidth="1" outlineLevel="1"/>
    <col min="168" max="168" width="13.875" hidden="1" customWidth="1" outlineLevel="1"/>
    <col min="169" max="169" width="13.625" hidden="1" customWidth="1" outlineLevel="1"/>
    <col min="170" max="170" width="14.75" hidden="1" customWidth="1" outlineLevel="1"/>
    <col min="171" max="171" width="13.125" hidden="1" customWidth="1" outlineLevel="1"/>
    <col min="172" max="172" width="13.625" hidden="1" customWidth="1" outlineLevel="1"/>
    <col min="173" max="173" width="15.375" hidden="1" customWidth="1" outlineLevel="1"/>
    <col min="174" max="174" width="13.75" hidden="1" customWidth="1" outlineLevel="1"/>
    <col min="175" max="175" width="14.25" hidden="1" customWidth="1" outlineLevel="1"/>
    <col min="176" max="176" width="12.75" style="16" customWidth="1" collapsed="1"/>
    <col min="177" max="177" width="27.25" style="16" customWidth="1"/>
    <col min="178" max="178" width="29.75" style="98" customWidth="1"/>
    <col min="179" max="179" width="10" style="3" bestFit="1" customWidth="1"/>
    <col min="180" max="180" width="7.625" hidden="1" customWidth="1" outlineLevel="1"/>
    <col min="181" max="181" width="14.5" hidden="1" customWidth="1" outlineLevel="1"/>
    <col min="182" max="182" width="15.375" hidden="1" customWidth="1" outlineLevel="1"/>
    <col min="183" max="183" width="13.375" hidden="1" customWidth="1" outlineLevel="1"/>
    <col min="184" max="184" width="22" hidden="1" customWidth="1" outlineLevel="1"/>
    <col min="185" max="185" width="4" customWidth="1" collapsed="1"/>
    <col min="186" max="194" width="11.125" hidden="1" customWidth="1" outlineLevel="1"/>
    <col min="195" max="196" width="12.125" hidden="1" customWidth="1" outlineLevel="1"/>
    <col min="197" max="197" width="15" style="13" bestFit="1" customWidth="1" collapsed="1"/>
    <col min="198" max="206" width="9" hidden="1" customWidth="1" outlineLevel="1"/>
    <col min="207" max="214" width="12" hidden="1" customWidth="1" outlineLevel="1"/>
    <col min="215" max="215" width="14.875" style="123" bestFit="1" customWidth="1" collapsed="1"/>
    <col min="216" max="216" width="14.75" hidden="1" customWidth="1" outlineLevel="1"/>
    <col min="217" max="217" width="15.875" hidden="1" customWidth="1" outlineLevel="1"/>
    <col min="218" max="218" width="14.25" hidden="1" customWidth="1" outlineLevel="1"/>
    <col min="219" max="219" width="14.75" hidden="1" customWidth="1" outlineLevel="1"/>
    <col min="220" max="220" width="13.875" hidden="1" customWidth="1" outlineLevel="1"/>
    <col min="221" max="221" width="15" hidden="1" customWidth="1" outlineLevel="1"/>
    <col min="222" max="222" width="13.375" hidden="1" customWidth="1" outlineLevel="1"/>
    <col min="223" max="223" width="13.875" hidden="1" customWidth="1" outlineLevel="1"/>
    <col min="224" max="224" width="13.625" hidden="1" customWidth="1" outlineLevel="1"/>
    <col min="225" max="225" width="14.75" hidden="1" customWidth="1" outlineLevel="1"/>
    <col min="226" max="226" width="13.125" hidden="1" customWidth="1" outlineLevel="1"/>
    <col min="227" max="227" width="13.625" hidden="1" customWidth="1" outlineLevel="1"/>
    <col min="228" max="228" width="15.375" hidden="1" customWidth="1" outlineLevel="1"/>
    <col min="229" max="229" width="13.75" hidden="1" customWidth="1" outlineLevel="1"/>
    <col min="230" max="230" width="14.25" hidden="1" customWidth="1" outlineLevel="1"/>
    <col min="231" max="231" width="12.75" style="16" bestFit="1" customWidth="1" collapsed="1"/>
    <col min="232" max="232" width="32.125" style="16" customWidth="1"/>
    <col min="233" max="233" width="30.625" style="18" customWidth="1"/>
    <col min="234" max="234" width="18.375" customWidth="1"/>
    <col min="235" max="235" width="15.625" customWidth="1"/>
  </cols>
  <sheetData>
    <row r="1" spans="1:250" s="36" customFormat="1">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0"/>
      <c r="U1" s="31" t="s">
        <v>19</v>
      </c>
      <c r="V1" s="31" t="s">
        <v>20</v>
      </c>
      <c r="W1" s="31" t="s">
        <v>21</v>
      </c>
      <c r="X1" s="31" t="s">
        <v>22</v>
      </c>
      <c r="Y1" s="31" t="s">
        <v>23</v>
      </c>
      <c r="Z1" s="31" t="s">
        <v>24</v>
      </c>
      <c r="AA1" s="31" t="s">
        <v>25</v>
      </c>
      <c r="AB1" s="31" t="s">
        <v>26</v>
      </c>
      <c r="AC1" s="31" t="s">
        <v>27</v>
      </c>
      <c r="AD1" s="31" t="s">
        <v>28</v>
      </c>
      <c r="AE1" s="31" t="s">
        <v>29</v>
      </c>
      <c r="AF1" s="31" t="s">
        <v>30</v>
      </c>
      <c r="AG1" s="32" t="s">
        <v>31</v>
      </c>
      <c r="AH1" s="32" t="s">
        <v>32</v>
      </c>
      <c r="AI1" s="32" t="s">
        <v>33</v>
      </c>
      <c r="AJ1" s="32" t="s">
        <v>34</v>
      </c>
      <c r="AK1" s="32" t="s">
        <v>35</v>
      </c>
      <c r="AL1" s="32" t="s">
        <v>36</v>
      </c>
      <c r="AM1" s="32" t="s">
        <v>37</v>
      </c>
      <c r="AN1" s="32" t="s">
        <v>38</v>
      </c>
      <c r="AO1" s="32" t="s">
        <v>39</v>
      </c>
      <c r="AP1" s="32" t="s">
        <v>40</v>
      </c>
      <c r="AQ1" s="32" t="s">
        <v>41</v>
      </c>
      <c r="AR1" s="32" t="s">
        <v>42</v>
      </c>
      <c r="AS1" s="32" t="s">
        <v>43</v>
      </c>
      <c r="AT1" s="32" t="s">
        <v>44</v>
      </c>
      <c r="AU1" s="32" t="s">
        <v>45</v>
      </c>
      <c r="AV1" s="32" t="s">
        <v>46</v>
      </c>
      <c r="AW1" s="32" t="s">
        <v>47</v>
      </c>
      <c r="AX1" s="117" t="s">
        <v>48</v>
      </c>
      <c r="AY1" s="33" t="s">
        <v>49</v>
      </c>
      <c r="AZ1" s="33" t="s">
        <v>50</v>
      </c>
      <c r="BA1" s="33" t="s">
        <v>51</v>
      </c>
      <c r="BB1" s="33" t="s">
        <v>52</v>
      </c>
      <c r="BC1" s="33" t="s">
        <v>53</v>
      </c>
      <c r="BD1" s="33" t="s">
        <v>54</v>
      </c>
      <c r="BE1" s="33" t="s">
        <v>55</v>
      </c>
      <c r="BF1" s="33" t="s">
        <v>56</v>
      </c>
      <c r="BG1" s="33" t="s">
        <v>57</v>
      </c>
      <c r="BH1" s="33" t="s">
        <v>58</v>
      </c>
      <c r="BI1" s="33" t="s">
        <v>59</v>
      </c>
      <c r="BJ1" s="33" t="s">
        <v>60</v>
      </c>
      <c r="BK1" s="33" t="s">
        <v>61</v>
      </c>
      <c r="BL1" s="33" t="s">
        <v>62</v>
      </c>
      <c r="BM1" s="33" t="s">
        <v>63</v>
      </c>
      <c r="BN1" s="33" t="s">
        <v>64</v>
      </c>
      <c r="BO1" s="33" t="s">
        <v>65</v>
      </c>
      <c r="BP1" s="90" t="s">
        <v>66</v>
      </c>
      <c r="BQ1" s="30" t="s">
        <v>67</v>
      </c>
      <c r="BR1" s="30" t="s">
        <v>68</v>
      </c>
      <c r="BS1" s="30" t="s">
        <v>69</v>
      </c>
      <c r="BT1" s="30" t="s">
        <v>70</v>
      </c>
      <c r="BU1" s="30" t="s">
        <v>71</v>
      </c>
      <c r="BV1" s="30" t="s">
        <v>72</v>
      </c>
      <c r="BW1" s="30"/>
      <c r="BX1" s="31" t="s">
        <v>73</v>
      </c>
      <c r="BY1" s="31" t="s">
        <v>74</v>
      </c>
      <c r="BZ1" s="31" t="s">
        <v>75</v>
      </c>
      <c r="CA1" s="31" t="s">
        <v>76</v>
      </c>
      <c r="CB1" s="31" t="s">
        <v>77</v>
      </c>
      <c r="CC1" s="31" t="s">
        <v>78</v>
      </c>
      <c r="CD1" s="31" t="s">
        <v>79</v>
      </c>
      <c r="CE1" s="31" t="s">
        <v>80</v>
      </c>
      <c r="CF1" s="31" t="s">
        <v>81</v>
      </c>
      <c r="CG1" s="31" t="s">
        <v>82</v>
      </c>
      <c r="CH1" s="31" t="s">
        <v>83</v>
      </c>
      <c r="CI1" s="31" t="s">
        <v>84</v>
      </c>
      <c r="CJ1" s="32" t="s">
        <v>85</v>
      </c>
      <c r="CK1" s="32" t="s">
        <v>86</v>
      </c>
      <c r="CL1" s="32" t="s">
        <v>87</v>
      </c>
      <c r="CM1" s="32" t="s">
        <v>88</v>
      </c>
      <c r="CN1" s="32" t="s">
        <v>89</v>
      </c>
      <c r="CO1" s="32" t="s">
        <v>90</v>
      </c>
      <c r="CP1" s="32" t="s">
        <v>91</v>
      </c>
      <c r="CQ1" s="32" t="s">
        <v>92</v>
      </c>
      <c r="CR1" s="32" t="s">
        <v>93</v>
      </c>
      <c r="CS1" s="32" t="s">
        <v>94</v>
      </c>
      <c r="CT1" s="32" t="s">
        <v>95</v>
      </c>
      <c r="CU1" s="32" t="s">
        <v>96</v>
      </c>
      <c r="CV1" s="32" t="s">
        <v>97</v>
      </c>
      <c r="CW1" s="32" t="s">
        <v>98</v>
      </c>
      <c r="CX1" s="32" t="s">
        <v>99</v>
      </c>
      <c r="CY1" s="32" t="s">
        <v>100</v>
      </c>
      <c r="CZ1" s="32" t="s">
        <v>101</v>
      </c>
      <c r="DA1" s="32" t="s">
        <v>102</v>
      </c>
      <c r="DB1" s="33" t="s">
        <v>103</v>
      </c>
      <c r="DC1" s="33" t="s">
        <v>104</v>
      </c>
      <c r="DD1" s="33" t="s">
        <v>105</v>
      </c>
      <c r="DE1" s="33" t="s">
        <v>106</v>
      </c>
      <c r="DF1" s="33" t="s">
        <v>107</v>
      </c>
      <c r="DG1" s="33" t="s">
        <v>108</v>
      </c>
      <c r="DH1" s="33" t="s">
        <v>109</v>
      </c>
      <c r="DI1" s="33" t="s">
        <v>110</v>
      </c>
      <c r="DJ1" s="33" t="s">
        <v>111</v>
      </c>
      <c r="DK1" s="33" t="s">
        <v>112</v>
      </c>
      <c r="DL1" s="33" t="s">
        <v>113</v>
      </c>
      <c r="DM1" s="33" t="s">
        <v>114</v>
      </c>
      <c r="DN1" s="33" t="s">
        <v>115</v>
      </c>
      <c r="DO1" s="33" t="s">
        <v>116</v>
      </c>
      <c r="DP1" s="33" t="s">
        <v>117</v>
      </c>
      <c r="DQ1" s="33" t="s">
        <v>118</v>
      </c>
      <c r="DR1" s="33" t="s">
        <v>119</v>
      </c>
      <c r="DS1" s="34" t="s">
        <v>120</v>
      </c>
      <c r="DT1" s="30" t="s">
        <v>121</v>
      </c>
      <c r="DU1" s="30" t="s">
        <v>122</v>
      </c>
      <c r="DV1" s="30" t="s">
        <v>123</v>
      </c>
      <c r="DW1" s="30" t="s">
        <v>124</v>
      </c>
      <c r="DX1" s="30" t="s">
        <v>125</v>
      </c>
      <c r="DY1" s="30" t="s">
        <v>126</v>
      </c>
      <c r="DZ1" s="30"/>
      <c r="EA1" s="31" t="s">
        <v>127</v>
      </c>
      <c r="EB1" s="31" t="s">
        <v>128</v>
      </c>
      <c r="EC1" s="31" t="s">
        <v>129</v>
      </c>
      <c r="ED1" s="31" t="s">
        <v>130</v>
      </c>
      <c r="EE1" s="31" t="s">
        <v>131</v>
      </c>
      <c r="EF1" s="31" t="s">
        <v>132</v>
      </c>
      <c r="EG1" s="31" t="s">
        <v>133</v>
      </c>
      <c r="EH1" s="31" t="s">
        <v>134</v>
      </c>
      <c r="EI1" s="31" t="s">
        <v>135</v>
      </c>
      <c r="EJ1" s="31" t="s">
        <v>136</v>
      </c>
      <c r="EK1" s="31" t="s">
        <v>137</v>
      </c>
      <c r="EL1" s="31" t="s">
        <v>138</v>
      </c>
      <c r="EM1" s="32" t="s">
        <v>139</v>
      </c>
      <c r="EN1" s="32" t="s">
        <v>140</v>
      </c>
      <c r="EO1" s="32" t="s">
        <v>141</v>
      </c>
      <c r="EP1" s="32" t="s">
        <v>142</v>
      </c>
      <c r="EQ1" s="32" t="s">
        <v>143</v>
      </c>
      <c r="ER1" s="32" t="s">
        <v>144</v>
      </c>
      <c r="ES1" s="32" t="s">
        <v>145</v>
      </c>
      <c r="ET1" s="32" t="s">
        <v>146</v>
      </c>
      <c r="EU1" s="32" t="s">
        <v>147</v>
      </c>
      <c r="EV1" s="32" t="s">
        <v>148</v>
      </c>
      <c r="EW1" s="32" t="s">
        <v>149</v>
      </c>
      <c r="EX1" s="32" t="s">
        <v>150</v>
      </c>
      <c r="EY1" s="32" t="s">
        <v>151</v>
      </c>
      <c r="EZ1" s="32" t="s">
        <v>152</v>
      </c>
      <c r="FA1" s="32" t="s">
        <v>153</v>
      </c>
      <c r="FB1" s="32" t="s">
        <v>154</v>
      </c>
      <c r="FC1" s="32" t="s">
        <v>155</v>
      </c>
      <c r="FD1" s="32" t="s">
        <v>156</v>
      </c>
      <c r="FE1" s="33" t="s">
        <v>157</v>
      </c>
      <c r="FF1" s="33" t="s">
        <v>158</v>
      </c>
      <c r="FG1" s="33" t="s">
        <v>159</v>
      </c>
      <c r="FH1" s="33" t="s">
        <v>160</v>
      </c>
      <c r="FI1" s="33" t="s">
        <v>161</v>
      </c>
      <c r="FJ1" s="33" t="s">
        <v>162</v>
      </c>
      <c r="FK1" s="33" t="s">
        <v>163</v>
      </c>
      <c r="FL1" s="33" t="s">
        <v>164</v>
      </c>
      <c r="FM1" s="33" t="s">
        <v>165</v>
      </c>
      <c r="FN1" s="33" t="s">
        <v>166</v>
      </c>
      <c r="FO1" s="33" t="s">
        <v>167</v>
      </c>
      <c r="FP1" s="33" t="s">
        <v>168</v>
      </c>
      <c r="FQ1" s="33" t="s">
        <v>169</v>
      </c>
      <c r="FR1" s="33" t="s">
        <v>170</v>
      </c>
      <c r="FS1" s="33" t="s">
        <v>171</v>
      </c>
      <c r="FT1" s="33" t="s">
        <v>172</v>
      </c>
      <c r="FU1" s="33" t="s">
        <v>173</v>
      </c>
      <c r="FV1" s="90" t="s">
        <v>174</v>
      </c>
      <c r="FW1" s="30" t="s">
        <v>175</v>
      </c>
      <c r="FX1" s="30" t="s">
        <v>176</v>
      </c>
      <c r="FY1" s="30" t="s">
        <v>177</v>
      </c>
      <c r="FZ1" s="30" t="s">
        <v>178</v>
      </c>
      <c r="GA1" s="30" t="s">
        <v>179</v>
      </c>
      <c r="GB1" s="30" t="s">
        <v>180</v>
      </c>
      <c r="GC1" s="30"/>
      <c r="GD1" s="31" t="s">
        <v>181</v>
      </c>
      <c r="GE1" s="31" t="s">
        <v>182</v>
      </c>
      <c r="GF1" s="31" t="s">
        <v>183</v>
      </c>
      <c r="GG1" s="31" t="s">
        <v>184</v>
      </c>
      <c r="GH1" s="31" t="s">
        <v>185</v>
      </c>
      <c r="GI1" s="31" t="s">
        <v>186</v>
      </c>
      <c r="GJ1" s="31" t="s">
        <v>187</v>
      </c>
      <c r="GK1" s="31" t="s">
        <v>188</v>
      </c>
      <c r="GL1" s="31" t="s">
        <v>189</v>
      </c>
      <c r="GM1" s="31" t="s">
        <v>190</v>
      </c>
      <c r="GN1" s="31" t="s">
        <v>191</v>
      </c>
      <c r="GO1" s="31" t="s">
        <v>192</v>
      </c>
      <c r="GP1" s="32" t="s">
        <v>193</v>
      </c>
      <c r="GQ1" s="32" t="s">
        <v>194</v>
      </c>
      <c r="GR1" s="32" t="s">
        <v>195</v>
      </c>
      <c r="GS1" s="32" t="s">
        <v>196</v>
      </c>
      <c r="GT1" s="32" t="s">
        <v>197</v>
      </c>
      <c r="GU1" s="32" t="s">
        <v>198</v>
      </c>
      <c r="GV1" s="32" t="s">
        <v>199</v>
      </c>
      <c r="GW1" s="32" t="s">
        <v>200</v>
      </c>
      <c r="GX1" s="32" t="s">
        <v>201</v>
      </c>
      <c r="GY1" s="32" t="s">
        <v>202</v>
      </c>
      <c r="GZ1" s="32" t="s">
        <v>203</v>
      </c>
      <c r="HA1" s="32" t="s">
        <v>204</v>
      </c>
      <c r="HB1" s="32" t="s">
        <v>205</v>
      </c>
      <c r="HC1" s="32" t="s">
        <v>206</v>
      </c>
      <c r="HD1" s="32" t="s">
        <v>207</v>
      </c>
      <c r="HE1" s="32" t="s">
        <v>208</v>
      </c>
      <c r="HF1" s="32" t="s">
        <v>209</v>
      </c>
      <c r="HG1" s="117" t="s">
        <v>210</v>
      </c>
      <c r="HH1" s="33" t="s">
        <v>211</v>
      </c>
      <c r="HI1" s="33" t="s">
        <v>212</v>
      </c>
      <c r="HJ1" s="33" t="s">
        <v>213</v>
      </c>
      <c r="HK1" s="33" t="s">
        <v>214</v>
      </c>
      <c r="HL1" s="33" t="s">
        <v>215</v>
      </c>
      <c r="HM1" s="33" t="s">
        <v>216</v>
      </c>
      <c r="HN1" s="33" t="s">
        <v>217</v>
      </c>
      <c r="HO1" s="33" t="s">
        <v>218</v>
      </c>
      <c r="HP1" s="33" t="s">
        <v>219</v>
      </c>
      <c r="HQ1" s="33" t="s">
        <v>220</v>
      </c>
      <c r="HR1" s="33" t="s">
        <v>221</v>
      </c>
      <c r="HS1" s="33" t="s">
        <v>222</v>
      </c>
      <c r="HT1" s="33" t="s">
        <v>223</v>
      </c>
      <c r="HU1" s="33" t="s">
        <v>224</v>
      </c>
      <c r="HV1" s="33" t="s">
        <v>225</v>
      </c>
      <c r="HW1" s="33" t="s">
        <v>226</v>
      </c>
      <c r="HX1" s="33" t="s">
        <v>227</v>
      </c>
      <c r="HY1" s="35" t="s">
        <v>228</v>
      </c>
      <c r="HZ1" s="63" t="s">
        <v>229</v>
      </c>
      <c r="IA1" s="63" t="s">
        <v>230</v>
      </c>
    </row>
    <row r="2" spans="1:250" s="42" customFormat="1" ht="114" customHeight="1">
      <c r="A2" s="36" t="s">
        <v>231</v>
      </c>
      <c r="B2" s="38" t="s">
        <v>283</v>
      </c>
      <c r="C2" s="2" t="s">
        <v>581</v>
      </c>
      <c r="D2" s="37">
        <v>5417278</v>
      </c>
      <c r="E2" s="2" t="s">
        <v>582</v>
      </c>
      <c r="F2" s="2">
        <v>25</v>
      </c>
      <c r="G2" s="2" t="s">
        <v>235</v>
      </c>
      <c r="H2" s="2" t="s">
        <v>237</v>
      </c>
      <c r="I2" s="2" t="s">
        <v>287</v>
      </c>
      <c r="J2" s="2" t="s">
        <v>287</v>
      </c>
      <c r="K2" s="2" t="s">
        <v>583</v>
      </c>
      <c r="L2" s="37" t="s">
        <v>584</v>
      </c>
      <c r="M2" s="2" t="s">
        <v>239</v>
      </c>
      <c r="N2" s="38" t="s">
        <v>585</v>
      </c>
      <c r="O2" s="46">
        <v>0.51874999999999993</v>
      </c>
      <c r="P2" s="2" t="s">
        <v>247</v>
      </c>
      <c r="Q2" s="2">
        <v>1332298</v>
      </c>
      <c r="R2" s="2">
        <v>38</v>
      </c>
      <c r="S2" s="2" t="s">
        <v>586</v>
      </c>
      <c r="T2" s="2"/>
      <c r="U2" s="36">
        <v>0</v>
      </c>
      <c r="V2" s="36">
        <v>0</v>
      </c>
      <c r="W2" s="36">
        <v>0</v>
      </c>
      <c r="X2" s="36">
        <v>1</v>
      </c>
      <c r="Y2" s="36">
        <v>2</v>
      </c>
      <c r="Z2" s="36">
        <v>2</v>
      </c>
      <c r="AA2" s="36">
        <v>2</v>
      </c>
      <c r="AB2" s="36">
        <v>2</v>
      </c>
      <c r="AC2" s="36">
        <v>0</v>
      </c>
      <c r="AD2" s="36">
        <v>1</v>
      </c>
      <c r="AE2" s="36">
        <v>0</v>
      </c>
      <c r="AF2" s="31">
        <f t="shared" ref="AF2:AF3" si="0">SUM(U2:AE2)</f>
        <v>10</v>
      </c>
      <c r="AG2" s="36">
        <v>3</v>
      </c>
      <c r="AH2" s="36">
        <v>1</v>
      </c>
      <c r="AI2" s="36">
        <v>1</v>
      </c>
      <c r="AJ2" s="36">
        <v>1</v>
      </c>
      <c r="AK2" s="36">
        <v>1</v>
      </c>
      <c r="AL2" s="36">
        <v>1</v>
      </c>
      <c r="AM2" s="36">
        <v>1</v>
      </c>
      <c r="AN2" s="36">
        <v>1</v>
      </c>
      <c r="AO2" s="36">
        <v>1</v>
      </c>
      <c r="AP2" s="36">
        <v>2</v>
      </c>
      <c r="AQ2" s="36">
        <v>2</v>
      </c>
      <c r="AR2" s="36">
        <v>1</v>
      </c>
      <c r="AS2" s="36">
        <v>1</v>
      </c>
      <c r="AT2" s="36">
        <v>1</v>
      </c>
      <c r="AU2" s="36">
        <v>1</v>
      </c>
      <c r="AV2" s="36">
        <v>0</v>
      </c>
      <c r="AW2" s="36">
        <v>0</v>
      </c>
      <c r="AX2" s="32">
        <f t="shared" ref="AX2:AX3" si="1">SUM(AG2:AW2)</f>
        <v>19</v>
      </c>
      <c r="AY2" s="36">
        <v>0</v>
      </c>
      <c r="AZ2" s="36">
        <v>0</v>
      </c>
      <c r="BA2" s="36">
        <v>0</v>
      </c>
      <c r="BB2" s="36">
        <f t="shared" ref="BB2:BB3" si="2">8*(AY2*(AZ2*60+BA2))</f>
        <v>0</v>
      </c>
      <c r="BC2" s="36">
        <v>0</v>
      </c>
      <c r="BD2" s="36">
        <v>0</v>
      </c>
      <c r="BE2" s="36">
        <v>0</v>
      </c>
      <c r="BF2" s="36">
        <f t="shared" ref="BF2:BF3" si="3">4*(BC2*(BD2*60+BE2))</f>
        <v>0</v>
      </c>
      <c r="BG2" s="36">
        <v>7</v>
      </c>
      <c r="BH2" s="36">
        <v>0</v>
      </c>
      <c r="BI2" s="36">
        <v>90</v>
      </c>
      <c r="BJ2" s="36">
        <f t="shared" ref="BJ2:BJ3" si="4">3.3*(BG2*(BH2*60+BI2))</f>
        <v>2079</v>
      </c>
      <c r="BK2" s="36">
        <v>5</v>
      </c>
      <c r="BL2" s="36">
        <v>0</v>
      </c>
      <c r="BM2" s="36">
        <f t="shared" ref="BM2:BM3" si="5">1*(7*(BK2*60+BL2))</f>
        <v>2100</v>
      </c>
      <c r="BN2" s="33">
        <f t="shared" ref="BN2:BN3" si="6">BB2+BF2+BJ2</f>
        <v>2079</v>
      </c>
      <c r="BO2" s="41" t="s">
        <v>587</v>
      </c>
      <c r="BP2" s="35" t="s">
        <v>587</v>
      </c>
      <c r="BQ2" s="38" t="s">
        <v>588</v>
      </c>
      <c r="BR2" s="46">
        <v>0.4284722222222222</v>
      </c>
      <c r="BS2" s="2" t="s">
        <v>247</v>
      </c>
      <c r="BT2" s="2">
        <v>1346703</v>
      </c>
      <c r="BU2" s="2">
        <v>43</v>
      </c>
      <c r="BV2" s="2" t="s">
        <v>589</v>
      </c>
      <c r="BW2" s="2"/>
      <c r="BX2" s="36">
        <v>0</v>
      </c>
      <c r="BY2" s="36">
        <v>0</v>
      </c>
      <c r="BZ2" s="36">
        <v>0</v>
      </c>
      <c r="CA2" s="36">
        <v>0</v>
      </c>
      <c r="CB2" s="36">
        <v>0</v>
      </c>
      <c r="CC2" s="36">
        <v>0</v>
      </c>
      <c r="CD2" s="36">
        <v>0</v>
      </c>
      <c r="CE2" s="36">
        <v>0</v>
      </c>
      <c r="CF2" s="36">
        <v>0</v>
      </c>
      <c r="CG2" s="36">
        <v>0</v>
      </c>
      <c r="CH2" s="36">
        <v>0</v>
      </c>
      <c r="CI2" s="31">
        <f t="shared" ref="CI2:CI3" si="7">SUM(BX2:CH2)</f>
        <v>0</v>
      </c>
      <c r="CJ2" s="36">
        <v>2</v>
      </c>
      <c r="CK2" s="36">
        <v>1</v>
      </c>
      <c r="CL2" s="36">
        <v>1</v>
      </c>
      <c r="CM2" s="36">
        <v>1</v>
      </c>
      <c r="CN2" s="36">
        <v>1</v>
      </c>
      <c r="CO2" s="36">
        <v>0</v>
      </c>
      <c r="CP2" s="36">
        <v>2</v>
      </c>
      <c r="CQ2" s="36">
        <v>2</v>
      </c>
      <c r="CR2" s="36">
        <v>0</v>
      </c>
      <c r="CS2" s="36">
        <v>2</v>
      </c>
      <c r="CT2" s="36">
        <v>0</v>
      </c>
      <c r="CU2" s="36">
        <v>0</v>
      </c>
      <c r="CV2" s="36">
        <v>0</v>
      </c>
      <c r="CW2" s="36">
        <v>0</v>
      </c>
      <c r="CX2" s="36">
        <v>0</v>
      </c>
      <c r="CY2" s="36">
        <v>0</v>
      </c>
      <c r="CZ2" s="36">
        <v>0</v>
      </c>
      <c r="DA2" s="32">
        <f t="shared" ref="DA2:DA3" si="8">SUM(CJ2:CZ2)</f>
        <v>12</v>
      </c>
      <c r="DB2" s="36">
        <v>0</v>
      </c>
      <c r="DC2" s="36">
        <v>0</v>
      </c>
      <c r="DD2" s="36">
        <v>0</v>
      </c>
      <c r="DE2" s="36">
        <f t="shared" ref="DE2:DE3" si="9">8*(DB2*(DC2*60+DD2))</f>
        <v>0</v>
      </c>
      <c r="DF2" s="36">
        <v>0</v>
      </c>
      <c r="DG2" s="36">
        <v>0</v>
      </c>
      <c r="DH2" s="36">
        <v>0</v>
      </c>
      <c r="DI2" s="36">
        <f t="shared" ref="DI2" si="10">4*(DF2*(DG2*60+DH2))</f>
        <v>0</v>
      </c>
      <c r="DJ2" s="36">
        <v>6</v>
      </c>
      <c r="DK2" s="36">
        <v>2</v>
      </c>
      <c r="DL2" s="36">
        <v>30</v>
      </c>
      <c r="DM2" s="36">
        <f t="shared" ref="DM2:DM3" si="11">3.3*(DJ2*(DK2*60+DL2))</f>
        <v>2970</v>
      </c>
      <c r="DN2" s="36">
        <v>4</v>
      </c>
      <c r="DO2" s="36">
        <v>0</v>
      </c>
      <c r="DP2" s="36">
        <f t="shared" ref="DP2:DP3" si="12">1*(7*(DN2*60+DO2))</f>
        <v>1680</v>
      </c>
      <c r="DQ2" s="33">
        <f t="shared" ref="DQ2:DQ3" si="13">DE2+DI2+DM2</f>
        <v>2970</v>
      </c>
      <c r="DR2" s="41" t="s">
        <v>590</v>
      </c>
      <c r="DS2" s="35" t="s">
        <v>590</v>
      </c>
      <c r="DT2" s="38" t="s">
        <v>591</v>
      </c>
      <c r="DU2" s="46">
        <v>0.4284722222222222</v>
      </c>
      <c r="DV2" s="2" t="s">
        <v>247</v>
      </c>
      <c r="DW2" s="2">
        <v>1346703</v>
      </c>
      <c r="DX2" s="2">
        <v>43</v>
      </c>
      <c r="DY2" s="2" t="s">
        <v>592</v>
      </c>
      <c r="DZ2" s="2"/>
      <c r="EA2" s="36">
        <v>0</v>
      </c>
      <c r="EB2" s="36">
        <v>0</v>
      </c>
      <c r="EC2" s="36">
        <v>0</v>
      </c>
      <c r="ED2" s="36">
        <v>0</v>
      </c>
      <c r="EE2" s="36">
        <v>0</v>
      </c>
      <c r="EF2" s="36">
        <v>0</v>
      </c>
      <c r="EG2" s="36">
        <v>0</v>
      </c>
      <c r="EH2" s="36">
        <v>0</v>
      </c>
      <c r="EI2" s="36">
        <v>0</v>
      </c>
      <c r="EJ2" s="36">
        <v>0</v>
      </c>
      <c r="EK2" s="36">
        <v>0</v>
      </c>
      <c r="EL2" s="31">
        <f t="shared" ref="EL2:EL3" si="14">SUM(EA2:EK2)</f>
        <v>0</v>
      </c>
      <c r="EM2" s="36">
        <v>1</v>
      </c>
      <c r="EN2" s="36">
        <v>1</v>
      </c>
      <c r="EO2" s="36">
        <v>1</v>
      </c>
      <c r="EP2" s="36">
        <v>1</v>
      </c>
      <c r="EQ2" s="36">
        <v>0</v>
      </c>
      <c r="ER2" s="36">
        <v>0</v>
      </c>
      <c r="ES2" s="36">
        <v>1</v>
      </c>
      <c r="ET2" s="36">
        <v>0</v>
      </c>
      <c r="EU2" s="36">
        <v>0</v>
      </c>
      <c r="EV2" s="36">
        <v>1</v>
      </c>
      <c r="EW2" s="36">
        <v>0</v>
      </c>
      <c r="EX2" s="36">
        <v>0</v>
      </c>
      <c r="EY2" s="36">
        <v>0</v>
      </c>
      <c r="EZ2" s="36">
        <v>0</v>
      </c>
      <c r="FA2" s="36">
        <v>0</v>
      </c>
      <c r="FB2" s="36">
        <v>0</v>
      </c>
      <c r="FC2" s="36">
        <v>0</v>
      </c>
      <c r="FD2" s="32">
        <f t="shared" ref="FD2:FD3" si="15">SUM(EM2:FC2)</f>
        <v>6</v>
      </c>
      <c r="FE2" s="36">
        <v>0</v>
      </c>
      <c r="FF2" s="36">
        <v>0</v>
      </c>
      <c r="FG2" s="36">
        <v>0</v>
      </c>
      <c r="FH2" s="36">
        <f t="shared" ref="FH2:FH3" si="16">8*(FE2*(FF2*60+FG2))</f>
        <v>0</v>
      </c>
      <c r="FI2" s="36">
        <v>7</v>
      </c>
      <c r="FJ2" s="36">
        <v>0</v>
      </c>
      <c r="FK2" s="36">
        <v>30</v>
      </c>
      <c r="FL2" s="36">
        <f t="shared" ref="FL2:FL3" si="17">4*(FI2*(FJ2*60+FK2))</f>
        <v>840</v>
      </c>
      <c r="FM2" s="36">
        <v>7</v>
      </c>
      <c r="FN2" s="36">
        <v>2</v>
      </c>
      <c r="FO2" s="36">
        <v>30</v>
      </c>
      <c r="FP2" s="36">
        <f t="shared" ref="FP2:FP3" si="18">3.3*(FM2*(FN2*60+FO2))</f>
        <v>3465</v>
      </c>
      <c r="FQ2" s="36">
        <v>4</v>
      </c>
      <c r="FR2" s="36">
        <v>0</v>
      </c>
      <c r="FS2" s="36">
        <f t="shared" ref="FS2:FS3" si="19">1*(7*(FQ2*60+FR2))</f>
        <v>1680</v>
      </c>
      <c r="FT2" s="33">
        <f t="shared" ref="FT2:FT3" si="20">FH2+FL2+FP2</f>
        <v>4305</v>
      </c>
      <c r="FU2" s="41" t="s">
        <v>593</v>
      </c>
      <c r="FV2" s="35" t="s">
        <v>593</v>
      </c>
      <c r="FW2" s="45"/>
      <c r="GO2" s="31">
        <f t="shared" ref="GO2:GO3" si="21">SUM(GD2:GN2)</f>
        <v>0</v>
      </c>
      <c r="HG2" s="32">
        <f t="shared" ref="HG2:HG3" si="22">SUM(GP2:HF2)</f>
        <v>0</v>
      </c>
      <c r="HK2" s="36">
        <f t="shared" ref="HK2:HK3" si="23">8*(HH2*(HI2*60+HJ2))</f>
        <v>0</v>
      </c>
      <c r="HO2" s="36">
        <f t="shared" ref="HO2:HO3" si="24">4*(HL2*(HM2*60+HN2))</f>
        <v>0</v>
      </c>
      <c r="HS2" s="36">
        <f t="shared" ref="HS2:HS3" si="25">3.3*(HP2*(HQ2*60+HR2))</f>
        <v>0</v>
      </c>
      <c r="HV2" s="36">
        <f t="shared" ref="HV2:HV3" si="26">1*(7*(HT2*60+HU2))</f>
        <v>0</v>
      </c>
      <c r="HW2" s="33">
        <f t="shared" ref="HW2:HW3" si="27">HK2+HO2+HS2</f>
        <v>0</v>
      </c>
      <c r="HX2" s="43"/>
      <c r="HY2" s="35"/>
      <c r="HZ2" s="64" t="s">
        <v>239</v>
      </c>
      <c r="IA2" s="36" t="s">
        <v>239</v>
      </c>
    </row>
    <row r="3" spans="1:250" s="36" customFormat="1" ht="66.75" customHeight="1">
      <c r="A3" s="36" t="s">
        <v>231</v>
      </c>
      <c r="B3" s="30" t="s">
        <v>297</v>
      </c>
      <c r="C3" s="2" t="s">
        <v>594</v>
      </c>
      <c r="D3" s="37">
        <v>4600636</v>
      </c>
      <c r="E3" s="36" t="s">
        <v>595</v>
      </c>
      <c r="F3" s="36">
        <v>24</v>
      </c>
      <c r="G3" s="36" t="s">
        <v>466</v>
      </c>
      <c r="H3" s="2" t="s">
        <v>596</v>
      </c>
      <c r="I3" s="36" t="s">
        <v>237</v>
      </c>
      <c r="J3" s="36" t="s">
        <v>237</v>
      </c>
      <c r="K3" s="2" t="s">
        <v>597</v>
      </c>
      <c r="L3" s="37" t="s">
        <v>598</v>
      </c>
      <c r="M3" s="2" t="s">
        <v>239</v>
      </c>
      <c r="N3" s="30" t="s">
        <v>471</v>
      </c>
      <c r="O3" s="52">
        <v>0.70833333333333337</v>
      </c>
      <c r="P3" s="28" t="s">
        <v>247</v>
      </c>
      <c r="Q3" s="28">
        <v>1416234</v>
      </c>
      <c r="R3" s="36">
        <v>48</v>
      </c>
      <c r="S3" s="2" t="s">
        <v>599</v>
      </c>
      <c r="T3" s="2"/>
      <c r="U3" s="36">
        <v>1</v>
      </c>
      <c r="V3" s="36">
        <v>1</v>
      </c>
      <c r="W3" s="36">
        <v>0</v>
      </c>
      <c r="X3" s="36">
        <v>0</v>
      </c>
      <c r="Y3" s="36">
        <v>2</v>
      </c>
      <c r="Z3" s="36">
        <v>2</v>
      </c>
      <c r="AA3" s="36">
        <v>1</v>
      </c>
      <c r="AB3" s="36">
        <v>0</v>
      </c>
      <c r="AC3" s="36">
        <v>0</v>
      </c>
      <c r="AD3" s="36">
        <v>1</v>
      </c>
      <c r="AE3" s="36">
        <v>0</v>
      </c>
      <c r="AF3" s="39">
        <f t="shared" si="0"/>
        <v>8</v>
      </c>
      <c r="AG3" s="36">
        <v>0</v>
      </c>
      <c r="AH3" s="36">
        <v>0</v>
      </c>
      <c r="AI3" s="36">
        <v>0</v>
      </c>
      <c r="AJ3" s="36">
        <v>0</v>
      </c>
      <c r="AK3" s="36">
        <v>0</v>
      </c>
      <c r="AL3" s="36">
        <v>0</v>
      </c>
      <c r="AM3" s="36">
        <v>1</v>
      </c>
      <c r="AN3" s="36">
        <v>0</v>
      </c>
      <c r="AO3" s="36">
        <v>1</v>
      </c>
      <c r="AP3" s="36">
        <v>3</v>
      </c>
      <c r="AQ3" s="36">
        <v>2</v>
      </c>
      <c r="AR3" s="36">
        <v>0</v>
      </c>
      <c r="AS3" s="36">
        <v>0</v>
      </c>
      <c r="AT3" s="36">
        <v>0</v>
      </c>
      <c r="AU3" s="36">
        <v>0</v>
      </c>
      <c r="AV3" s="36">
        <v>0</v>
      </c>
      <c r="AW3" s="36">
        <v>0</v>
      </c>
      <c r="AX3" s="40">
        <f t="shared" si="1"/>
        <v>7</v>
      </c>
      <c r="AY3" s="36">
        <v>0</v>
      </c>
      <c r="AZ3" s="36">
        <v>0</v>
      </c>
      <c r="BA3" s="36">
        <v>0</v>
      </c>
      <c r="BB3" s="36">
        <f t="shared" si="2"/>
        <v>0</v>
      </c>
      <c r="BC3" s="36">
        <v>5</v>
      </c>
      <c r="BD3" s="36">
        <v>0</v>
      </c>
      <c r="BE3" s="36">
        <v>30</v>
      </c>
      <c r="BF3" s="36">
        <f t="shared" si="3"/>
        <v>600</v>
      </c>
      <c r="BG3" s="36">
        <v>7</v>
      </c>
      <c r="BH3" s="36">
        <v>0</v>
      </c>
      <c r="BI3" s="36">
        <v>15</v>
      </c>
      <c r="BJ3" s="36">
        <f t="shared" si="4"/>
        <v>346.5</v>
      </c>
      <c r="BK3" s="36">
        <v>3</v>
      </c>
      <c r="BL3" s="36">
        <v>0</v>
      </c>
      <c r="BM3" s="36">
        <f t="shared" si="5"/>
        <v>1260</v>
      </c>
      <c r="BN3" s="33">
        <f t="shared" si="6"/>
        <v>946.5</v>
      </c>
      <c r="BO3" s="33"/>
      <c r="BP3" s="34"/>
      <c r="BQ3" s="30" t="s">
        <v>473</v>
      </c>
      <c r="BR3" s="52">
        <v>0.52083333333333337</v>
      </c>
      <c r="BS3" s="28" t="s">
        <v>247</v>
      </c>
      <c r="BT3" s="2">
        <v>73658199</v>
      </c>
      <c r="BU3" s="36">
        <v>53</v>
      </c>
      <c r="BV3" s="2" t="s">
        <v>600</v>
      </c>
      <c r="BW3" s="2"/>
      <c r="BX3" s="36">
        <v>0</v>
      </c>
      <c r="BY3" s="36">
        <v>0</v>
      </c>
      <c r="BZ3" s="36">
        <v>0</v>
      </c>
      <c r="CA3" s="36">
        <v>0</v>
      </c>
      <c r="CB3" s="36">
        <v>0</v>
      </c>
      <c r="CC3" s="36">
        <v>0</v>
      </c>
      <c r="CD3" s="36">
        <v>0</v>
      </c>
      <c r="CE3" s="36">
        <v>0</v>
      </c>
      <c r="CF3" s="36">
        <v>0</v>
      </c>
      <c r="CG3" s="36">
        <v>0</v>
      </c>
      <c r="CH3" s="36">
        <v>0</v>
      </c>
      <c r="CI3" s="31">
        <f t="shared" si="7"/>
        <v>0</v>
      </c>
      <c r="CJ3" s="36">
        <v>0</v>
      </c>
      <c r="CK3" s="36">
        <v>0</v>
      </c>
      <c r="CL3" s="36">
        <v>0</v>
      </c>
      <c r="CM3" s="36">
        <v>0</v>
      </c>
      <c r="CN3" s="36">
        <v>0</v>
      </c>
      <c r="CO3" s="36">
        <v>0</v>
      </c>
      <c r="CP3" s="36">
        <v>0</v>
      </c>
      <c r="CQ3" s="36">
        <v>0</v>
      </c>
      <c r="CR3" s="36">
        <v>0</v>
      </c>
      <c r="CS3" s="36">
        <v>2</v>
      </c>
      <c r="CT3" s="36">
        <v>1</v>
      </c>
      <c r="CU3" s="36">
        <v>0</v>
      </c>
      <c r="CV3" s="36">
        <v>0</v>
      </c>
      <c r="CW3" s="36">
        <v>0</v>
      </c>
      <c r="CX3" s="36">
        <v>0</v>
      </c>
      <c r="CY3" s="36">
        <v>0</v>
      </c>
      <c r="CZ3" s="36">
        <v>0</v>
      </c>
      <c r="DA3" s="32">
        <f t="shared" si="8"/>
        <v>3</v>
      </c>
      <c r="DB3" s="36">
        <v>0</v>
      </c>
      <c r="DC3" s="36">
        <v>0</v>
      </c>
      <c r="DD3" s="36">
        <v>0</v>
      </c>
      <c r="DE3" s="36">
        <f t="shared" si="9"/>
        <v>0</v>
      </c>
      <c r="DF3" s="36">
        <v>0</v>
      </c>
      <c r="DG3" s="36">
        <v>0</v>
      </c>
      <c r="DH3" s="36">
        <v>0</v>
      </c>
      <c r="DI3" s="36">
        <v>0</v>
      </c>
      <c r="DJ3" s="36">
        <v>3</v>
      </c>
      <c r="DK3" s="36">
        <v>0</v>
      </c>
      <c r="DL3" s="36">
        <v>15</v>
      </c>
      <c r="DM3" s="36">
        <f t="shared" si="11"/>
        <v>148.5</v>
      </c>
      <c r="DN3" s="36">
        <v>11</v>
      </c>
      <c r="DO3" s="36">
        <v>0</v>
      </c>
      <c r="DP3" s="36">
        <f t="shared" si="12"/>
        <v>4620</v>
      </c>
      <c r="DQ3" s="33">
        <f t="shared" si="13"/>
        <v>148.5</v>
      </c>
      <c r="DR3" s="33"/>
      <c r="DS3" s="34"/>
      <c r="DT3" s="30" t="s">
        <v>239</v>
      </c>
      <c r="DU3" s="36" t="s">
        <v>239</v>
      </c>
      <c r="DV3" s="36" t="s">
        <v>239</v>
      </c>
      <c r="DW3" s="36" t="s">
        <v>239</v>
      </c>
      <c r="DX3" s="36" t="s">
        <v>239</v>
      </c>
      <c r="DY3" s="36" t="s">
        <v>239</v>
      </c>
      <c r="EL3" s="31">
        <f t="shared" si="14"/>
        <v>0</v>
      </c>
      <c r="FD3" s="32">
        <f t="shared" si="15"/>
        <v>0</v>
      </c>
      <c r="FH3" s="36">
        <f t="shared" si="16"/>
        <v>0</v>
      </c>
      <c r="FL3" s="36">
        <f t="shared" si="17"/>
        <v>0</v>
      </c>
      <c r="FP3" s="36">
        <f t="shared" si="18"/>
        <v>0</v>
      </c>
      <c r="FS3" s="36">
        <f t="shared" si="19"/>
        <v>0</v>
      </c>
      <c r="FT3" s="33">
        <f t="shared" si="20"/>
        <v>0</v>
      </c>
      <c r="FU3" s="33"/>
      <c r="FV3" s="34"/>
      <c r="FW3" s="30" t="s">
        <v>601</v>
      </c>
      <c r="FX3" s="52">
        <v>0.5</v>
      </c>
      <c r="FY3" s="6" t="s">
        <v>384</v>
      </c>
      <c r="FZ3" s="6">
        <v>1468870</v>
      </c>
      <c r="GA3" s="36">
        <v>51</v>
      </c>
      <c r="GB3" s="2" t="s">
        <v>602</v>
      </c>
      <c r="GD3" s="36">
        <v>0</v>
      </c>
      <c r="GE3" s="36">
        <v>0</v>
      </c>
      <c r="GF3" s="36">
        <v>0</v>
      </c>
      <c r="GG3" s="36">
        <v>0</v>
      </c>
      <c r="GH3" s="36">
        <v>0</v>
      </c>
      <c r="GI3" s="36">
        <v>0</v>
      </c>
      <c r="GJ3" s="36">
        <v>0</v>
      </c>
      <c r="GK3" s="36">
        <v>0</v>
      </c>
      <c r="GL3" s="36">
        <v>0</v>
      </c>
      <c r="GM3" s="36">
        <v>0</v>
      </c>
      <c r="GN3" s="36">
        <v>0</v>
      </c>
      <c r="GO3" s="31">
        <f t="shared" si="21"/>
        <v>0</v>
      </c>
      <c r="GP3" s="135">
        <v>0</v>
      </c>
      <c r="GQ3" s="135">
        <v>0</v>
      </c>
      <c r="GR3" s="135">
        <v>0</v>
      </c>
      <c r="GS3" s="135">
        <v>0</v>
      </c>
      <c r="GT3" s="135">
        <v>0</v>
      </c>
      <c r="GU3" s="135">
        <v>0</v>
      </c>
      <c r="GV3" s="135">
        <v>0</v>
      </c>
      <c r="GW3" s="135">
        <v>0</v>
      </c>
      <c r="GX3" s="135">
        <v>0</v>
      </c>
      <c r="GY3" s="135">
        <v>2</v>
      </c>
      <c r="GZ3" s="135">
        <v>0</v>
      </c>
      <c r="HA3" s="135">
        <v>0</v>
      </c>
      <c r="HB3" s="135">
        <v>0</v>
      </c>
      <c r="HC3" s="135">
        <v>0</v>
      </c>
      <c r="HD3" s="135">
        <v>0</v>
      </c>
      <c r="HE3" s="135">
        <v>0</v>
      </c>
      <c r="HF3" s="135">
        <v>0</v>
      </c>
      <c r="HG3" s="32">
        <f t="shared" si="22"/>
        <v>2</v>
      </c>
      <c r="HH3" s="36">
        <v>0</v>
      </c>
      <c r="HI3" s="36">
        <v>0</v>
      </c>
      <c r="HJ3" s="36">
        <v>0</v>
      </c>
      <c r="HK3" s="36">
        <f t="shared" si="23"/>
        <v>0</v>
      </c>
      <c r="HL3" s="36">
        <v>0</v>
      </c>
      <c r="HM3" s="36">
        <v>0</v>
      </c>
      <c r="HN3" s="36">
        <v>0</v>
      </c>
      <c r="HO3" s="36">
        <f t="shared" si="24"/>
        <v>0</v>
      </c>
      <c r="HP3" s="36">
        <v>7</v>
      </c>
      <c r="HQ3" s="36">
        <v>0</v>
      </c>
      <c r="HR3" s="36">
        <v>30</v>
      </c>
      <c r="HS3" s="36">
        <f t="shared" si="25"/>
        <v>693</v>
      </c>
      <c r="HT3" s="36">
        <v>3</v>
      </c>
      <c r="HU3" s="36">
        <v>0</v>
      </c>
      <c r="HV3" s="36">
        <f t="shared" si="26"/>
        <v>1260</v>
      </c>
      <c r="HW3" s="33">
        <f t="shared" si="27"/>
        <v>693</v>
      </c>
      <c r="HX3" s="33" t="s">
        <v>239</v>
      </c>
      <c r="HY3" s="35"/>
      <c r="HZ3" s="36" t="s">
        <v>239</v>
      </c>
      <c r="IA3" s="36" t="s">
        <v>239</v>
      </c>
    </row>
    <row r="4" spans="1:250" s="48" customFormat="1">
      <c r="A4" s="36"/>
      <c r="B4" s="38"/>
      <c r="C4" s="2"/>
      <c r="D4" s="37"/>
      <c r="E4" s="2"/>
      <c r="F4" s="36"/>
      <c r="G4" s="2"/>
      <c r="H4" s="2"/>
      <c r="I4" s="2"/>
      <c r="J4" s="2"/>
      <c r="K4" s="2"/>
      <c r="L4" s="37"/>
      <c r="M4" s="2"/>
      <c r="N4" s="38"/>
      <c r="O4" s="2"/>
      <c r="P4" s="2"/>
      <c r="Q4" s="2"/>
      <c r="R4" s="2"/>
      <c r="S4" s="2"/>
      <c r="T4" s="2"/>
      <c r="U4" s="36"/>
      <c r="V4" s="36"/>
      <c r="W4" s="36"/>
      <c r="X4" s="36"/>
      <c r="Y4" s="36"/>
      <c r="Z4" s="36"/>
      <c r="AA4" s="36"/>
      <c r="AB4" s="36"/>
      <c r="AC4" s="36"/>
      <c r="AD4" s="36"/>
      <c r="AE4" s="36"/>
      <c r="AF4" s="39"/>
      <c r="AG4" s="36"/>
      <c r="AH4" s="36"/>
      <c r="AI4" s="36"/>
      <c r="AJ4" s="36"/>
      <c r="AK4" s="36"/>
      <c r="AL4" s="36"/>
      <c r="AM4" s="36"/>
      <c r="AN4" s="36"/>
      <c r="AO4" s="36"/>
      <c r="AP4" s="36"/>
      <c r="AQ4" s="36"/>
      <c r="AR4" s="36"/>
      <c r="AS4" s="36"/>
      <c r="AT4" s="36"/>
      <c r="AU4" s="36"/>
      <c r="AV4" s="36"/>
      <c r="AW4" s="36"/>
      <c r="AX4" s="40"/>
      <c r="AY4" s="36"/>
      <c r="AZ4" s="36"/>
      <c r="BA4" s="36"/>
      <c r="BB4" s="36"/>
      <c r="BC4" s="36"/>
      <c r="BD4" s="36"/>
      <c r="BE4" s="36"/>
      <c r="BF4" s="36"/>
      <c r="BG4" s="36"/>
      <c r="BH4" s="36"/>
      <c r="BI4" s="36"/>
      <c r="BJ4" s="36"/>
      <c r="BK4" s="36"/>
      <c r="BL4" s="36"/>
      <c r="BM4" s="36"/>
      <c r="BN4" s="33"/>
      <c r="BO4" s="41"/>
      <c r="BP4" s="35"/>
      <c r="BQ4" s="38"/>
      <c r="BR4" s="2"/>
      <c r="BS4" s="2"/>
      <c r="BT4" s="2"/>
      <c r="BU4" s="2"/>
      <c r="BV4" s="2"/>
      <c r="BW4" s="2"/>
      <c r="BX4" s="36"/>
      <c r="BY4" s="36"/>
      <c r="BZ4" s="36"/>
      <c r="CA4" s="36"/>
      <c r="CB4" s="36"/>
      <c r="CC4" s="36"/>
      <c r="CD4" s="36"/>
      <c r="CE4" s="36"/>
      <c r="CF4" s="36"/>
      <c r="CG4" s="36"/>
      <c r="CH4" s="36"/>
      <c r="CI4" s="31"/>
      <c r="CJ4" s="36"/>
      <c r="CK4" s="36"/>
      <c r="CL4" s="36"/>
      <c r="CM4" s="36"/>
      <c r="CN4" s="36"/>
      <c r="CO4" s="36"/>
      <c r="CP4" s="36"/>
      <c r="CQ4" s="36"/>
      <c r="CR4" s="36"/>
      <c r="CS4" s="36"/>
      <c r="CT4" s="36"/>
      <c r="CU4" s="36"/>
      <c r="CV4" s="36"/>
      <c r="CW4" s="36"/>
      <c r="CX4" s="36"/>
      <c r="CY4" s="36"/>
      <c r="CZ4" s="36"/>
      <c r="DA4" s="32"/>
      <c r="DB4" s="36"/>
      <c r="DC4" s="36"/>
      <c r="DD4" s="36"/>
      <c r="DE4" s="36"/>
      <c r="DF4" s="36"/>
      <c r="DG4" s="36"/>
      <c r="DH4" s="36"/>
      <c r="DI4" s="36"/>
      <c r="DJ4" s="36"/>
      <c r="DK4" s="36"/>
      <c r="DL4" s="36"/>
      <c r="DM4" s="36"/>
      <c r="DN4" s="36"/>
      <c r="DO4" s="36"/>
      <c r="DP4" s="36"/>
      <c r="DQ4" s="33"/>
      <c r="DR4" s="41"/>
      <c r="DS4" s="35"/>
      <c r="DT4" s="38"/>
      <c r="DU4" s="2"/>
      <c r="DV4" s="36"/>
      <c r="DW4" s="2"/>
      <c r="DX4" s="2"/>
      <c r="DY4" s="2"/>
      <c r="DZ4" s="2"/>
      <c r="EA4" s="36"/>
      <c r="EB4" s="36"/>
      <c r="EC4" s="36"/>
      <c r="ED4" s="36"/>
      <c r="EE4" s="36"/>
      <c r="EF4" s="36"/>
      <c r="EG4" s="36"/>
      <c r="EH4" s="36"/>
      <c r="EI4" s="36"/>
      <c r="EJ4" s="36"/>
      <c r="EK4" s="36"/>
      <c r="EL4" s="31"/>
      <c r="EM4" s="36"/>
      <c r="EN4" s="36"/>
      <c r="EO4" s="36"/>
      <c r="EP4" s="36"/>
      <c r="EQ4" s="36"/>
      <c r="ER4" s="36"/>
      <c r="ES4" s="36"/>
      <c r="ET4" s="36"/>
      <c r="EU4" s="36"/>
      <c r="EV4" s="36"/>
      <c r="EW4" s="36"/>
      <c r="EX4" s="36"/>
      <c r="EY4" s="36"/>
      <c r="EZ4" s="36"/>
      <c r="FA4" s="36"/>
      <c r="FB4" s="36"/>
      <c r="FC4" s="36"/>
      <c r="FD4" s="32"/>
      <c r="FE4" s="36"/>
      <c r="FF4" s="36"/>
      <c r="FG4" s="36"/>
      <c r="FH4" s="36"/>
      <c r="FI4" s="36"/>
      <c r="FJ4" s="36"/>
      <c r="FK4" s="36"/>
      <c r="FL4" s="36"/>
      <c r="FM4" s="36"/>
      <c r="FN4" s="36"/>
      <c r="FO4" s="36"/>
      <c r="FP4" s="36"/>
      <c r="FQ4" s="36"/>
      <c r="FR4" s="36"/>
      <c r="FS4" s="36"/>
      <c r="FT4" s="33"/>
      <c r="FU4" s="41"/>
      <c r="FV4" s="35"/>
      <c r="FW4" s="49"/>
      <c r="FY4" s="28"/>
      <c r="FZ4" s="36"/>
      <c r="GA4" s="36"/>
      <c r="GB4" s="2"/>
      <c r="GC4" s="2"/>
      <c r="GD4" s="36"/>
      <c r="GE4" s="36"/>
      <c r="GF4" s="36"/>
      <c r="GG4" s="36"/>
      <c r="GH4" s="36"/>
      <c r="GI4" s="36"/>
      <c r="GJ4" s="36"/>
      <c r="GK4" s="36"/>
      <c r="GL4" s="36"/>
      <c r="GM4" s="36"/>
      <c r="GN4" s="36"/>
      <c r="GO4" s="31"/>
      <c r="GP4" s="36"/>
      <c r="GQ4" s="36"/>
      <c r="GR4" s="36"/>
      <c r="GS4" s="36"/>
      <c r="GT4" s="36"/>
      <c r="GU4" s="36"/>
      <c r="GV4" s="36"/>
      <c r="GW4" s="36"/>
      <c r="GX4" s="36"/>
      <c r="GY4" s="36"/>
      <c r="GZ4" s="36"/>
      <c r="HA4" s="36"/>
      <c r="HB4" s="36"/>
      <c r="HC4" s="36"/>
      <c r="HD4" s="36"/>
      <c r="HE4" s="36"/>
      <c r="HF4" s="36"/>
      <c r="HG4" s="32"/>
      <c r="HH4" s="36"/>
      <c r="HI4" s="36"/>
      <c r="HJ4" s="36"/>
      <c r="HK4" s="36"/>
      <c r="HL4" s="36"/>
      <c r="HM4" s="36"/>
      <c r="HN4" s="36"/>
      <c r="HO4" s="36"/>
      <c r="HP4" s="36"/>
      <c r="HQ4" s="36"/>
      <c r="HR4" s="36"/>
      <c r="HS4" s="36"/>
      <c r="HT4" s="36"/>
      <c r="HU4" s="36"/>
      <c r="HV4" s="36"/>
      <c r="HW4" s="33"/>
      <c r="HX4" s="33"/>
      <c r="HY4" s="35"/>
      <c r="HZ4" s="2"/>
      <c r="IA4" s="36"/>
      <c r="IB4" s="36"/>
      <c r="IC4" s="36"/>
      <c r="ID4" s="36"/>
      <c r="IE4" s="36"/>
      <c r="IF4" s="36"/>
      <c r="IG4" s="36"/>
      <c r="IH4" s="36"/>
      <c r="II4" s="36"/>
      <c r="IJ4" s="36"/>
      <c r="IK4" s="36"/>
      <c r="IL4" s="36"/>
      <c r="IM4" s="36"/>
      <c r="IN4" s="36"/>
      <c r="IO4" s="36"/>
      <c r="IP4" s="36"/>
    </row>
    <row r="5" spans="1:250" s="26" customFormat="1">
      <c r="A5" s="61"/>
      <c r="B5" s="77"/>
      <c r="C5" s="107"/>
      <c r="D5" s="78"/>
      <c r="E5" s="107"/>
      <c r="F5" s="107"/>
      <c r="G5" s="107"/>
      <c r="H5" s="107"/>
      <c r="I5" s="107"/>
      <c r="J5" s="107"/>
      <c r="K5" s="107"/>
      <c r="L5" s="78"/>
      <c r="M5" s="107"/>
      <c r="N5" s="77"/>
      <c r="O5" s="107"/>
      <c r="P5" s="107"/>
      <c r="Q5" s="107"/>
      <c r="R5" s="107"/>
      <c r="S5" s="107"/>
      <c r="T5" s="107"/>
      <c r="U5" s="107"/>
      <c r="V5" s="107"/>
      <c r="W5" s="107"/>
      <c r="X5" s="107"/>
      <c r="Y5" s="107"/>
      <c r="Z5" s="107"/>
      <c r="AA5" s="107"/>
      <c r="AB5" s="107"/>
      <c r="AC5" s="107"/>
      <c r="AD5" s="107"/>
      <c r="AE5" s="107"/>
      <c r="AF5" s="79"/>
      <c r="AG5" s="107"/>
      <c r="AH5" s="107"/>
      <c r="AI5" s="107"/>
      <c r="AJ5" s="107"/>
      <c r="AK5" s="107"/>
      <c r="AL5" s="107"/>
      <c r="AM5" s="107"/>
      <c r="AN5" s="107"/>
      <c r="AO5" s="107"/>
      <c r="AP5" s="107"/>
      <c r="AQ5" s="107"/>
      <c r="AR5" s="107"/>
      <c r="AS5" s="107"/>
      <c r="AT5" s="107"/>
      <c r="AU5" s="107"/>
      <c r="AV5" s="107"/>
      <c r="AW5" s="107"/>
      <c r="AX5" s="118"/>
      <c r="AY5" s="61"/>
      <c r="AZ5" s="61"/>
      <c r="BA5" s="61"/>
      <c r="BB5" s="61"/>
      <c r="BC5" s="61"/>
      <c r="BD5" s="61"/>
      <c r="BE5" s="61"/>
      <c r="BF5" s="61"/>
      <c r="BG5" s="61"/>
      <c r="BH5" s="61"/>
      <c r="BI5" s="61"/>
      <c r="BJ5" s="61"/>
      <c r="BK5" s="61"/>
      <c r="BL5" s="61"/>
      <c r="BM5" s="61"/>
      <c r="BN5" s="80"/>
      <c r="BO5" s="81"/>
      <c r="BP5" s="82"/>
      <c r="BQ5" s="77"/>
      <c r="BR5" s="107"/>
      <c r="BS5" s="107"/>
      <c r="BT5" s="107"/>
      <c r="BU5" s="107"/>
      <c r="BV5" s="108"/>
      <c r="BW5" s="108"/>
      <c r="BX5" s="61"/>
      <c r="BY5" s="61"/>
      <c r="BZ5" s="61"/>
      <c r="CA5" s="61"/>
      <c r="CB5" s="61"/>
      <c r="CC5" s="61"/>
      <c r="CD5" s="61"/>
      <c r="CE5" s="61"/>
      <c r="CF5" s="61"/>
      <c r="CG5" s="61"/>
      <c r="CH5" s="61"/>
      <c r="CI5" s="83"/>
      <c r="CJ5" s="61"/>
      <c r="CK5" s="61"/>
      <c r="CL5" s="61"/>
      <c r="CM5" s="61"/>
      <c r="CN5" s="61"/>
      <c r="CO5" s="61"/>
      <c r="CP5" s="61"/>
      <c r="CQ5" s="61"/>
      <c r="CR5" s="61"/>
      <c r="CS5" s="61"/>
      <c r="CT5" s="61"/>
      <c r="CU5" s="61"/>
      <c r="CV5" s="61"/>
      <c r="CW5" s="61"/>
      <c r="CX5" s="61"/>
      <c r="CY5" s="61"/>
      <c r="CZ5" s="61"/>
      <c r="DA5" s="84"/>
      <c r="DB5" s="61"/>
      <c r="DC5" s="61"/>
      <c r="DD5" s="61"/>
      <c r="DE5" s="61"/>
      <c r="DF5" s="61"/>
      <c r="DG5" s="61"/>
      <c r="DH5" s="61"/>
      <c r="DI5" s="61"/>
      <c r="DJ5" s="61"/>
      <c r="DK5" s="61"/>
      <c r="DL5" s="61"/>
      <c r="DM5" s="61"/>
      <c r="DN5" s="61"/>
      <c r="DO5" s="61"/>
      <c r="DP5" s="61"/>
      <c r="DQ5" s="80"/>
      <c r="DR5" s="81"/>
      <c r="DS5" s="82"/>
      <c r="DT5" s="69"/>
      <c r="DU5" s="61"/>
      <c r="DV5" s="61"/>
      <c r="DW5" s="61"/>
      <c r="DX5" s="61"/>
      <c r="DY5" s="107"/>
      <c r="DZ5" s="107"/>
      <c r="EA5" s="61"/>
      <c r="EB5" s="61"/>
      <c r="EC5" s="61"/>
      <c r="ED5" s="61"/>
      <c r="EE5" s="61"/>
      <c r="EF5" s="61"/>
      <c r="EG5" s="61"/>
      <c r="EH5" s="61"/>
      <c r="EI5" s="61"/>
      <c r="EJ5" s="61"/>
      <c r="EK5" s="61"/>
      <c r="EL5" s="83"/>
      <c r="EM5" s="61"/>
      <c r="EN5" s="61"/>
      <c r="EO5" s="61"/>
      <c r="EP5" s="61"/>
      <c r="EQ5" s="61"/>
      <c r="ER5" s="61"/>
      <c r="ES5" s="61"/>
      <c r="ET5" s="61"/>
      <c r="EU5" s="61"/>
      <c r="EV5" s="61"/>
      <c r="EW5" s="61"/>
      <c r="EX5" s="61"/>
      <c r="EY5" s="61"/>
      <c r="EZ5" s="61"/>
      <c r="FA5" s="61"/>
      <c r="FB5" s="61"/>
      <c r="FC5" s="61"/>
      <c r="FD5" s="84"/>
      <c r="FE5" s="61"/>
      <c r="FF5" s="61"/>
      <c r="FG5" s="61"/>
      <c r="FH5" s="61"/>
      <c r="FI5" s="61"/>
      <c r="FJ5" s="61"/>
      <c r="FK5" s="61"/>
      <c r="FL5" s="61"/>
      <c r="FM5" s="61"/>
      <c r="FN5" s="61"/>
      <c r="FO5" s="61"/>
      <c r="FP5" s="61"/>
      <c r="FQ5" s="61"/>
      <c r="FR5" s="61"/>
      <c r="FS5" s="61"/>
      <c r="FT5" s="80"/>
      <c r="FU5" s="81"/>
      <c r="FV5" s="82"/>
      <c r="FW5" s="69"/>
      <c r="FX5" s="61"/>
      <c r="FY5" s="61"/>
      <c r="FZ5" s="61"/>
      <c r="GA5" s="61"/>
      <c r="GB5" s="107"/>
      <c r="GC5" s="107"/>
      <c r="GD5" s="61"/>
      <c r="GE5" s="61"/>
      <c r="GF5" s="61"/>
      <c r="GG5" s="61"/>
      <c r="GH5" s="61"/>
      <c r="GI5" s="61"/>
      <c r="GJ5" s="61"/>
      <c r="GK5" s="61"/>
      <c r="GL5" s="61"/>
      <c r="GM5" s="61"/>
      <c r="GN5" s="61"/>
      <c r="GO5" s="83"/>
      <c r="GP5" s="61"/>
      <c r="GQ5" s="61"/>
      <c r="GR5" s="61"/>
      <c r="GS5" s="61"/>
      <c r="GT5" s="61"/>
      <c r="GU5" s="61"/>
      <c r="GV5" s="61"/>
      <c r="GW5" s="61"/>
      <c r="GX5" s="61"/>
      <c r="GY5" s="61"/>
      <c r="GZ5" s="61"/>
      <c r="HA5" s="61"/>
      <c r="HB5" s="61"/>
      <c r="HC5" s="61"/>
      <c r="HD5" s="61"/>
      <c r="HE5" s="61"/>
      <c r="HF5" s="61"/>
      <c r="HG5" s="119"/>
      <c r="HH5" s="61"/>
      <c r="HI5" s="61"/>
      <c r="HJ5" s="61"/>
      <c r="HK5" s="61"/>
      <c r="HL5" s="61"/>
      <c r="HM5" s="61"/>
      <c r="HN5" s="61"/>
      <c r="HO5" s="61"/>
      <c r="HP5" s="61"/>
      <c r="HQ5" s="61"/>
      <c r="HR5" s="61"/>
      <c r="HS5" s="61"/>
      <c r="HT5" s="61"/>
      <c r="HU5" s="61"/>
      <c r="HV5" s="61"/>
      <c r="HW5" s="80"/>
      <c r="HX5" s="81"/>
      <c r="HY5" s="82"/>
      <c r="HZ5" s="109"/>
      <c r="IA5" s="61"/>
    </row>
    <row r="6" spans="1:250" s="26" customFormat="1">
      <c r="A6" s="61"/>
      <c r="B6" s="77"/>
      <c r="C6" s="107"/>
      <c r="D6" s="78"/>
      <c r="E6" s="107"/>
      <c r="F6" s="61"/>
      <c r="G6" s="107"/>
      <c r="H6" s="107"/>
      <c r="I6" s="107"/>
      <c r="J6" s="107"/>
      <c r="K6" s="107"/>
      <c r="L6" s="78"/>
      <c r="M6" s="107"/>
      <c r="N6" s="77"/>
      <c r="O6" s="107"/>
      <c r="P6" s="107"/>
      <c r="Q6" s="107"/>
      <c r="R6" s="107"/>
      <c r="S6" s="107"/>
      <c r="T6" s="107"/>
      <c r="U6" s="61"/>
      <c r="V6" s="61"/>
      <c r="W6" s="61"/>
      <c r="X6" s="61"/>
      <c r="Y6" s="61"/>
      <c r="Z6" s="61"/>
      <c r="AA6" s="61"/>
      <c r="AB6" s="61"/>
      <c r="AC6" s="61"/>
      <c r="AD6" s="61"/>
      <c r="AE6" s="61"/>
      <c r="AF6" s="79"/>
      <c r="AG6" s="61"/>
      <c r="AH6" s="61"/>
      <c r="AI6" s="61"/>
      <c r="AJ6" s="61"/>
      <c r="AK6" s="61"/>
      <c r="AL6" s="61"/>
      <c r="AM6" s="61"/>
      <c r="AN6" s="61"/>
      <c r="AO6" s="61"/>
      <c r="AP6" s="61"/>
      <c r="AQ6" s="61"/>
      <c r="AR6" s="61"/>
      <c r="AS6" s="61"/>
      <c r="AT6" s="61"/>
      <c r="AU6" s="61"/>
      <c r="AV6" s="61"/>
      <c r="AW6" s="61"/>
      <c r="AX6" s="118"/>
      <c r="AY6" s="61"/>
      <c r="AZ6" s="61"/>
      <c r="BA6" s="61"/>
      <c r="BB6" s="61"/>
      <c r="BC6" s="61"/>
      <c r="BD6" s="61"/>
      <c r="BE6" s="61"/>
      <c r="BF6" s="61"/>
      <c r="BG6" s="61"/>
      <c r="BH6" s="61"/>
      <c r="BI6" s="61"/>
      <c r="BJ6" s="61"/>
      <c r="BK6" s="61"/>
      <c r="BL6" s="61"/>
      <c r="BM6" s="61"/>
      <c r="BN6" s="80"/>
      <c r="BO6" s="81"/>
      <c r="BP6" s="82"/>
      <c r="BQ6" s="77"/>
      <c r="BR6" s="107"/>
      <c r="BS6" s="107"/>
      <c r="BT6" s="107"/>
      <c r="BU6" s="107"/>
      <c r="BV6" s="107"/>
      <c r="BW6" s="107"/>
      <c r="BX6" s="61"/>
      <c r="BY6" s="61"/>
      <c r="BZ6" s="61"/>
      <c r="CA6" s="61"/>
      <c r="CB6" s="61"/>
      <c r="CC6" s="61"/>
      <c r="CD6" s="61"/>
      <c r="CE6" s="61"/>
      <c r="CF6" s="61"/>
      <c r="CG6" s="61"/>
      <c r="CH6" s="61"/>
      <c r="CI6" s="83"/>
      <c r="CJ6" s="61"/>
      <c r="CK6" s="61"/>
      <c r="CL6" s="61"/>
      <c r="CM6" s="61"/>
      <c r="CN6" s="61"/>
      <c r="CO6" s="61"/>
      <c r="CP6" s="61"/>
      <c r="CQ6" s="61"/>
      <c r="CR6" s="61"/>
      <c r="CS6" s="61"/>
      <c r="CT6" s="61"/>
      <c r="CU6" s="61"/>
      <c r="CV6" s="61"/>
      <c r="CW6" s="61"/>
      <c r="CX6" s="61"/>
      <c r="CY6" s="61"/>
      <c r="CZ6" s="61"/>
      <c r="DA6" s="84"/>
      <c r="DB6" s="61"/>
      <c r="DC6" s="61"/>
      <c r="DD6" s="61"/>
      <c r="DE6" s="61"/>
      <c r="DF6" s="61"/>
      <c r="DG6" s="61"/>
      <c r="DH6" s="61"/>
      <c r="DI6" s="61"/>
      <c r="DJ6" s="61"/>
      <c r="DK6" s="61"/>
      <c r="DL6" s="61"/>
      <c r="DM6" s="61"/>
      <c r="DN6" s="61"/>
      <c r="DO6" s="61"/>
      <c r="DP6" s="61"/>
      <c r="DQ6" s="80"/>
      <c r="DR6" s="81"/>
      <c r="DS6" s="82"/>
      <c r="DT6" s="77"/>
      <c r="DU6" s="107"/>
      <c r="DV6" s="61"/>
      <c r="DW6" s="107"/>
      <c r="DX6" s="107"/>
      <c r="DY6" s="107"/>
      <c r="DZ6" s="107"/>
      <c r="EA6" s="61"/>
      <c r="EB6" s="61"/>
      <c r="EC6" s="61"/>
      <c r="ED6" s="61"/>
      <c r="EE6" s="61"/>
      <c r="EF6" s="61"/>
      <c r="EG6" s="61"/>
      <c r="EH6" s="61"/>
      <c r="EI6" s="61"/>
      <c r="EJ6" s="61"/>
      <c r="EK6" s="61"/>
      <c r="EL6" s="83"/>
      <c r="EM6" s="61"/>
      <c r="EN6" s="61"/>
      <c r="EO6" s="61"/>
      <c r="EP6" s="61"/>
      <c r="EQ6" s="61"/>
      <c r="ER6" s="61"/>
      <c r="ES6" s="61"/>
      <c r="ET6" s="61"/>
      <c r="EU6" s="61"/>
      <c r="EV6" s="61"/>
      <c r="EW6" s="61"/>
      <c r="EX6" s="61"/>
      <c r="EY6" s="61"/>
      <c r="EZ6" s="61"/>
      <c r="FA6" s="61"/>
      <c r="FB6" s="61"/>
      <c r="FC6" s="61"/>
      <c r="FD6" s="84"/>
      <c r="FE6" s="61"/>
      <c r="FF6" s="61"/>
      <c r="FG6" s="61"/>
      <c r="FH6" s="61"/>
      <c r="FI6" s="61"/>
      <c r="FJ6" s="61"/>
      <c r="FK6" s="61"/>
      <c r="FL6" s="61"/>
      <c r="FM6" s="61"/>
      <c r="FN6" s="61"/>
      <c r="FO6" s="61"/>
      <c r="FP6" s="61"/>
      <c r="FQ6" s="61"/>
      <c r="FR6" s="61"/>
      <c r="FS6" s="61"/>
      <c r="FT6" s="80"/>
      <c r="FU6" s="81"/>
      <c r="FV6" s="82"/>
      <c r="FW6" s="85"/>
      <c r="FX6" s="110"/>
      <c r="FY6" s="28"/>
      <c r="FZ6" s="61"/>
      <c r="GA6" s="61"/>
      <c r="GB6" s="107"/>
      <c r="GC6" s="107"/>
      <c r="GD6" s="61"/>
      <c r="GE6" s="61"/>
      <c r="GF6" s="61"/>
      <c r="GG6" s="61"/>
      <c r="GH6" s="61"/>
      <c r="GI6" s="61"/>
      <c r="GJ6" s="61"/>
      <c r="GK6" s="61"/>
      <c r="GL6" s="61"/>
      <c r="GM6" s="61"/>
      <c r="GN6" s="61"/>
      <c r="GO6" s="83"/>
      <c r="GP6" s="61"/>
      <c r="GQ6" s="61"/>
      <c r="GR6" s="61"/>
      <c r="GS6" s="61"/>
      <c r="GT6" s="61"/>
      <c r="GU6" s="61"/>
      <c r="GV6" s="61"/>
      <c r="GW6" s="61"/>
      <c r="GX6" s="61"/>
      <c r="GY6" s="61"/>
      <c r="GZ6" s="61"/>
      <c r="HA6" s="61"/>
      <c r="HB6" s="61"/>
      <c r="HC6" s="61"/>
      <c r="HD6" s="61"/>
      <c r="HE6" s="61"/>
      <c r="HF6" s="61"/>
      <c r="HG6" s="119"/>
      <c r="HH6" s="61"/>
      <c r="HI6" s="61"/>
      <c r="HJ6" s="61"/>
      <c r="HK6" s="61"/>
      <c r="HL6" s="61"/>
      <c r="HM6" s="61"/>
      <c r="HN6" s="61"/>
      <c r="HO6" s="61"/>
      <c r="HP6" s="61"/>
      <c r="HQ6" s="61"/>
      <c r="HR6" s="61"/>
      <c r="HS6" s="61"/>
      <c r="HT6" s="61"/>
      <c r="HU6" s="61"/>
      <c r="HV6" s="61"/>
      <c r="HW6" s="80"/>
      <c r="HX6" s="80"/>
      <c r="HY6" s="82"/>
      <c r="HZ6" s="107"/>
      <c r="IA6" s="61"/>
    </row>
    <row r="7" spans="1:250" s="26" customFormat="1">
      <c r="A7" s="61"/>
      <c r="B7" s="77"/>
      <c r="C7" s="107"/>
      <c r="D7" s="78"/>
      <c r="E7" s="107"/>
      <c r="F7" s="107"/>
      <c r="G7" s="107"/>
      <c r="H7" s="107"/>
      <c r="I7" s="107"/>
      <c r="J7" s="107"/>
      <c r="K7" s="107"/>
      <c r="L7" s="78"/>
      <c r="M7" s="107"/>
      <c r="N7" s="77"/>
      <c r="O7" s="1"/>
      <c r="P7" s="107"/>
      <c r="Q7" s="107"/>
      <c r="R7" s="107"/>
      <c r="S7" s="107"/>
      <c r="T7" s="107"/>
      <c r="U7" s="61"/>
      <c r="V7" s="61"/>
      <c r="W7" s="61"/>
      <c r="X7" s="61"/>
      <c r="Y7" s="61"/>
      <c r="Z7" s="61"/>
      <c r="AA7" s="61"/>
      <c r="AB7" s="61"/>
      <c r="AC7" s="61"/>
      <c r="AD7" s="61"/>
      <c r="AE7" s="61"/>
      <c r="AF7" s="83"/>
      <c r="AG7" s="61"/>
      <c r="AH7" s="61"/>
      <c r="AI7" s="61"/>
      <c r="AJ7" s="61"/>
      <c r="AK7" s="61"/>
      <c r="AL7" s="61"/>
      <c r="AM7" s="61"/>
      <c r="AN7" s="61"/>
      <c r="AO7" s="61"/>
      <c r="AP7" s="61"/>
      <c r="AQ7" s="61"/>
      <c r="AR7" s="61"/>
      <c r="AS7" s="61"/>
      <c r="AT7" s="61"/>
      <c r="AU7" s="61"/>
      <c r="AV7" s="61"/>
      <c r="AW7" s="61"/>
      <c r="AX7" s="119"/>
      <c r="AY7" s="61"/>
      <c r="AZ7" s="61"/>
      <c r="BA7" s="61"/>
      <c r="BB7" s="61"/>
      <c r="BC7" s="61"/>
      <c r="BD7" s="61"/>
      <c r="BE7" s="61"/>
      <c r="BF7" s="61"/>
      <c r="BG7" s="61"/>
      <c r="BH7" s="61"/>
      <c r="BI7" s="61"/>
      <c r="BJ7" s="61"/>
      <c r="BK7" s="61"/>
      <c r="BL7" s="61"/>
      <c r="BM7" s="61"/>
      <c r="BN7" s="80"/>
      <c r="BO7" s="81"/>
      <c r="BP7" s="82"/>
      <c r="BQ7" s="77"/>
      <c r="BR7" s="1"/>
      <c r="BS7" s="107"/>
      <c r="BT7" s="107"/>
      <c r="BU7" s="107"/>
      <c r="BV7" s="107"/>
      <c r="BW7" s="107"/>
      <c r="BX7" s="61"/>
      <c r="BY7" s="61"/>
      <c r="BZ7" s="61"/>
      <c r="CA7" s="61"/>
      <c r="CB7" s="61"/>
      <c r="CC7" s="61"/>
      <c r="CD7" s="61"/>
      <c r="CE7" s="61"/>
      <c r="CF7" s="61"/>
      <c r="CG7" s="61"/>
      <c r="CH7" s="61"/>
      <c r="CI7" s="83"/>
      <c r="CJ7" s="61"/>
      <c r="CK7" s="61"/>
      <c r="CL7" s="61"/>
      <c r="CM7" s="61"/>
      <c r="CN7" s="61"/>
      <c r="CO7" s="61"/>
      <c r="CP7" s="61"/>
      <c r="CQ7" s="61"/>
      <c r="CR7" s="61"/>
      <c r="CS7" s="61"/>
      <c r="CT7" s="61"/>
      <c r="CU7" s="61"/>
      <c r="CV7" s="61"/>
      <c r="CW7" s="61"/>
      <c r="CX7" s="61"/>
      <c r="CY7" s="61"/>
      <c r="CZ7" s="61"/>
      <c r="DA7" s="84"/>
      <c r="DB7" s="61"/>
      <c r="DC7" s="61"/>
      <c r="DD7" s="61"/>
      <c r="DE7" s="61"/>
      <c r="DF7" s="61"/>
      <c r="DG7" s="61"/>
      <c r="DH7" s="61"/>
      <c r="DI7" s="61"/>
      <c r="DJ7" s="61"/>
      <c r="DK7" s="61"/>
      <c r="DL7" s="61"/>
      <c r="DM7" s="61"/>
      <c r="DN7" s="61"/>
      <c r="DO7" s="61"/>
      <c r="DP7" s="61"/>
      <c r="DQ7" s="80"/>
      <c r="DR7" s="81"/>
      <c r="DS7" s="82"/>
      <c r="DT7" s="77"/>
      <c r="DU7" s="1"/>
      <c r="DV7" s="107"/>
      <c r="DW7" s="107"/>
      <c r="DX7" s="107"/>
      <c r="DY7" s="107"/>
      <c r="DZ7" s="107"/>
      <c r="EA7" s="61"/>
      <c r="EB7" s="61"/>
      <c r="EC7" s="61"/>
      <c r="ED7" s="61"/>
      <c r="EE7" s="61"/>
      <c r="EF7" s="61"/>
      <c r="EG7" s="61"/>
      <c r="EH7" s="61"/>
      <c r="EI7" s="61"/>
      <c r="EJ7" s="61"/>
      <c r="EK7" s="61"/>
      <c r="EL7" s="83"/>
      <c r="EM7" s="61"/>
      <c r="EN7" s="61"/>
      <c r="EO7" s="61"/>
      <c r="EP7" s="61"/>
      <c r="EQ7" s="61"/>
      <c r="ER7" s="61"/>
      <c r="ES7" s="61"/>
      <c r="ET7" s="61"/>
      <c r="EU7" s="61"/>
      <c r="EV7" s="61"/>
      <c r="EW7" s="61"/>
      <c r="EX7" s="61"/>
      <c r="EY7" s="61"/>
      <c r="EZ7" s="61"/>
      <c r="FA7" s="61"/>
      <c r="FB7" s="61"/>
      <c r="FC7" s="61"/>
      <c r="FD7" s="84"/>
      <c r="FE7" s="61"/>
      <c r="FF7" s="61"/>
      <c r="FG7" s="61"/>
      <c r="FH7" s="61"/>
      <c r="FI7" s="61"/>
      <c r="FJ7" s="61"/>
      <c r="FK7" s="61"/>
      <c r="FL7" s="61"/>
      <c r="FM7" s="61"/>
      <c r="FN7" s="61"/>
      <c r="FO7" s="61"/>
      <c r="FP7" s="61"/>
      <c r="FQ7" s="61"/>
      <c r="FR7" s="61"/>
      <c r="FS7" s="61"/>
      <c r="FT7" s="80"/>
      <c r="FU7" s="81"/>
      <c r="FV7" s="82"/>
      <c r="FW7" s="86"/>
      <c r="FX7" s="111"/>
      <c r="FY7" s="111"/>
      <c r="FZ7" s="111"/>
      <c r="GA7" s="111"/>
      <c r="GB7" s="111"/>
      <c r="GC7" s="111"/>
      <c r="GD7" s="111"/>
      <c r="GE7" s="111"/>
      <c r="GF7" s="111"/>
      <c r="GG7" s="111"/>
      <c r="GH7" s="111"/>
      <c r="GI7" s="111"/>
      <c r="GJ7" s="111"/>
      <c r="GK7" s="111"/>
      <c r="GL7" s="111"/>
      <c r="GM7" s="111"/>
      <c r="GN7" s="111"/>
      <c r="GO7" s="83"/>
      <c r="GP7" s="111"/>
      <c r="GQ7" s="111"/>
      <c r="GR7" s="111"/>
      <c r="GS7" s="111"/>
      <c r="GT7" s="111"/>
      <c r="GU7" s="111"/>
      <c r="GV7" s="111"/>
      <c r="GW7" s="111"/>
      <c r="GX7" s="111"/>
      <c r="GY7" s="111"/>
      <c r="GZ7" s="111"/>
      <c r="HA7" s="111"/>
      <c r="HB7" s="111"/>
      <c r="HC7" s="111"/>
      <c r="HD7" s="111"/>
      <c r="HE7" s="111"/>
      <c r="HF7" s="111"/>
      <c r="HG7" s="119"/>
      <c r="HH7" s="111"/>
      <c r="HI7" s="111"/>
      <c r="HJ7" s="111"/>
      <c r="HK7" s="61"/>
      <c r="HL7" s="111"/>
      <c r="HM7" s="111"/>
      <c r="HN7" s="111"/>
      <c r="HO7" s="61"/>
      <c r="HP7" s="111"/>
      <c r="HQ7" s="111"/>
      <c r="HR7" s="111"/>
      <c r="HS7" s="61"/>
      <c r="HT7" s="111"/>
      <c r="HU7" s="111"/>
      <c r="HV7" s="61"/>
      <c r="HW7" s="80"/>
      <c r="HX7" s="87"/>
      <c r="HY7" s="82"/>
      <c r="HZ7" s="109"/>
      <c r="IA7" s="61"/>
    </row>
    <row r="8" spans="1:250" s="26" customFormat="1">
      <c r="A8" s="61"/>
      <c r="B8" s="77"/>
      <c r="C8" s="107"/>
      <c r="D8" s="78"/>
      <c r="E8" s="61"/>
      <c r="F8" s="61"/>
      <c r="G8" s="107"/>
      <c r="H8" s="107"/>
      <c r="I8" s="107"/>
      <c r="J8" s="107"/>
      <c r="K8" s="107"/>
      <c r="L8" s="78"/>
      <c r="M8" s="107"/>
      <c r="N8" s="69"/>
      <c r="O8" s="61"/>
      <c r="P8" s="107"/>
      <c r="Q8" s="107"/>
      <c r="R8" s="107"/>
      <c r="S8" s="107"/>
      <c r="T8" s="107"/>
      <c r="U8" s="61"/>
      <c r="V8" s="61"/>
      <c r="W8" s="61"/>
      <c r="X8" s="61"/>
      <c r="Y8" s="61"/>
      <c r="Z8" s="61"/>
      <c r="AA8" s="61"/>
      <c r="AB8" s="61"/>
      <c r="AC8" s="61"/>
      <c r="AD8" s="61"/>
      <c r="AE8" s="61"/>
      <c r="AF8" s="79"/>
      <c r="AG8" s="61"/>
      <c r="AH8" s="61"/>
      <c r="AI8" s="61"/>
      <c r="AJ8" s="61"/>
      <c r="AK8" s="61"/>
      <c r="AL8" s="61"/>
      <c r="AM8" s="61"/>
      <c r="AN8" s="61"/>
      <c r="AO8" s="61"/>
      <c r="AP8" s="61"/>
      <c r="AQ8" s="61"/>
      <c r="AR8" s="61"/>
      <c r="AS8" s="61"/>
      <c r="AT8" s="61"/>
      <c r="AU8" s="61"/>
      <c r="AV8" s="61"/>
      <c r="AW8" s="61"/>
      <c r="AX8" s="118"/>
      <c r="AY8" s="61"/>
      <c r="AZ8" s="61"/>
      <c r="BA8" s="61"/>
      <c r="BB8" s="61"/>
      <c r="BC8" s="61"/>
      <c r="BD8" s="61"/>
      <c r="BE8" s="61"/>
      <c r="BF8" s="61"/>
      <c r="BG8" s="61"/>
      <c r="BH8" s="61"/>
      <c r="BI8" s="61"/>
      <c r="BJ8" s="61"/>
      <c r="BK8" s="61"/>
      <c r="BL8" s="61"/>
      <c r="BM8" s="61"/>
      <c r="BN8" s="80"/>
      <c r="BO8" s="81"/>
      <c r="BP8" s="82"/>
      <c r="BQ8" s="69"/>
      <c r="BR8" s="61"/>
      <c r="BS8" s="61"/>
      <c r="BT8" s="61"/>
      <c r="BU8" s="61"/>
      <c r="BV8" s="61"/>
      <c r="BW8" s="61"/>
      <c r="BX8" s="61"/>
      <c r="BY8" s="61"/>
      <c r="BZ8" s="61"/>
      <c r="CA8" s="61"/>
      <c r="CB8" s="61"/>
      <c r="CC8" s="61"/>
      <c r="CD8" s="61"/>
      <c r="CE8" s="61"/>
      <c r="CF8" s="61"/>
      <c r="CG8" s="61"/>
      <c r="CH8" s="61"/>
      <c r="CI8" s="83"/>
      <c r="CJ8" s="61"/>
      <c r="CK8" s="61"/>
      <c r="CL8" s="61"/>
      <c r="CM8" s="61"/>
      <c r="CN8" s="61"/>
      <c r="CO8" s="61"/>
      <c r="CP8" s="61"/>
      <c r="CQ8" s="61"/>
      <c r="CR8" s="61"/>
      <c r="CS8" s="61"/>
      <c r="CT8" s="61"/>
      <c r="CU8" s="61"/>
      <c r="CV8" s="61"/>
      <c r="CW8" s="61"/>
      <c r="CX8" s="61"/>
      <c r="CY8" s="61"/>
      <c r="CZ8" s="61"/>
      <c r="DA8" s="84"/>
      <c r="DB8" s="61"/>
      <c r="DC8" s="61"/>
      <c r="DD8" s="61"/>
      <c r="DE8" s="61"/>
      <c r="DF8" s="61"/>
      <c r="DG8" s="61"/>
      <c r="DH8" s="61"/>
      <c r="DI8" s="61"/>
      <c r="DJ8" s="61"/>
      <c r="DK8" s="61"/>
      <c r="DL8" s="61"/>
      <c r="DM8" s="61"/>
      <c r="DN8" s="61"/>
      <c r="DO8" s="61"/>
      <c r="DP8" s="61"/>
      <c r="DQ8" s="80"/>
      <c r="DR8" s="80"/>
      <c r="DS8" s="90"/>
      <c r="DT8" s="69"/>
      <c r="DU8" s="61"/>
      <c r="DV8" s="61"/>
      <c r="DW8" s="61"/>
      <c r="DX8" s="61"/>
      <c r="DY8" s="61"/>
      <c r="DZ8" s="61"/>
      <c r="EA8" s="61"/>
      <c r="EB8" s="61"/>
      <c r="EC8" s="61"/>
      <c r="ED8" s="61"/>
      <c r="EE8" s="61"/>
      <c r="EF8" s="61"/>
      <c r="EG8" s="61"/>
      <c r="EH8" s="61"/>
      <c r="EI8" s="61"/>
      <c r="EJ8" s="61"/>
      <c r="EK8" s="61"/>
      <c r="EL8" s="83"/>
      <c r="EM8" s="61"/>
      <c r="EN8" s="61"/>
      <c r="EO8" s="61"/>
      <c r="EP8" s="61"/>
      <c r="EQ8" s="61"/>
      <c r="ER8" s="61"/>
      <c r="ES8" s="61"/>
      <c r="ET8" s="61"/>
      <c r="EU8" s="61"/>
      <c r="EV8" s="61"/>
      <c r="EW8" s="61"/>
      <c r="EX8" s="61"/>
      <c r="EY8" s="61"/>
      <c r="EZ8" s="61"/>
      <c r="FA8" s="61"/>
      <c r="FB8" s="61"/>
      <c r="FC8" s="61"/>
      <c r="FD8" s="84"/>
      <c r="FE8" s="61"/>
      <c r="FF8" s="61"/>
      <c r="FG8" s="61"/>
      <c r="FH8" s="61"/>
      <c r="FI8" s="61"/>
      <c r="FJ8" s="61"/>
      <c r="FK8" s="61"/>
      <c r="FL8" s="61"/>
      <c r="FM8" s="61"/>
      <c r="FN8" s="61"/>
      <c r="FO8" s="61"/>
      <c r="FP8" s="61"/>
      <c r="FQ8" s="61"/>
      <c r="FR8" s="61"/>
      <c r="FS8" s="61"/>
      <c r="FT8" s="80"/>
      <c r="FU8" s="80"/>
      <c r="FV8" s="90"/>
      <c r="FW8" s="69"/>
      <c r="FX8" s="61"/>
      <c r="FY8" s="61"/>
      <c r="FZ8" s="61"/>
      <c r="GA8" s="61"/>
      <c r="GB8" s="61"/>
      <c r="GC8" s="61"/>
      <c r="GD8" s="61"/>
      <c r="GE8" s="61"/>
      <c r="GF8" s="61"/>
      <c r="GG8" s="61"/>
      <c r="GH8" s="61"/>
      <c r="GI8" s="61"/>
      <c r="GJ8" s="61"/>
      <c r="GK8" s="61"/>
      <c r="GL8" s="61"/>
      <c r="GM8" s="61"/>
      <c r="GN8" s="61"/>
      <c r="GO8" s="83"/>
      <c r="GP8" s="61"/>
      <c r="GQ8" s="61"/>
      <c r="GR8" s="61"/>
      <c r="GS8" s="61"/>
      <c r="GT8" s="61"/>
      <c r="GU8" s="61"/>
      <c r="GV8" s="61"/>
      <c r="GW8" s="61"/>
      <c r="GX8" s="61"/>
      <c r="GY8" s="61"/>
      <c r="GZ8" s="61"/>
      <c r="HA8" s="61"/>
      <c r="HB8" s="61"/>
      <c r="HC8" s="61"/>
      <c r="HD8" s="61"/>
      <c r="HE8" s="61"/>
      <c r="HF8" s="61"/>
      <c r="HG8" s="119"/>
      <c r="HH8" s="61"/>
      <c r="HI8" s="61"/>
      <c r="HJ8" s="61"/>
      <c r="HK8" s="61"/>
      <c r="HL8" s="61"/>
      <c r="HM8" s="61"/>
      <c r="HN8" s="61"/>
      <c r="HO8" s="61"/>
      <c r="HP8" s="61"/>
      <c r="HQ8" s="61"/>
      <c r="HR8" s="61"/>
      <c r="HS8" s="61"/>
      <c r="HT8" s="61"/>
      <c r="HU8" s="61"/>
      <c r="HV8" s="61"/>
      <c r="HW8" s="80"/>
      <c r="HX8" s="80"/>
      <c r="HY8" s="82"/>
      <c r="HZ8" s="61"/>
      <c r="IA8" s="61"/>
    </row>
    <row r="9" spans="1:250" s="26" customFormat="1">
      <c r="A9" s="61"/>
      <c r="B9" s="77"/>
      <c r="C9" s="107"/>
      <c r="D9" s="78"/>
      <c r="E9" s="61"/>
      <c r="F9" s="61"/>
      <c r="G9" s="107"/>
      <c r="H9" s="61"/>
      <c r="I9" s="61"/>
      <c r="J9" s="61"/>
      <c r="K9" s="61"/>
      <c r="L9" s="130"/>
      <c r="M9" s="61"/>
      <c r="N9" s="85"/>
      <c r="O9" s="110"/>
      <c r="P9" s="107"/>
      <c r="Q9" s="107"/>
      <c r="R9" s="107"/>
      <c r="S9" s="107"/>
      <c r="T9" s="107"/>
      <c r="U9" s="61"/>
      <c r="V9" s="61"/>
      <c r="W9" s="61"/>
      <c r="X9" s="61"/>
      <c r="Y9" s="61"/>
      <c r="Z9" s="61"/>
      <c r="AA9" s="61"/>
      <c r="AB9" s="61"/>
      <c r="AC9" s="61"/>
      <c r="AD9" s="61"/>
      <c r="AE9" s="61"/>
      <c r="AF9" s="79"/>
      <c r="AG9" s="61"/>
      <c r="AH9" s="61"/>
      <c r="AI9" s="61"/>
      <c r="AJ9" s="61"/>
      <c r="AK9" s="61"/>
      <c r="AL9" s="61"/>
      <c r="AM9" s="61"/>
      <c r="AN9" s="61"/>
      <c r="AO9" s="61"/>
      <c r="AP9" s="61"/>
      <c r="AQ9" s="61"/>
      <c r="AR9" s="61"/>
      <c r="AS9" s="61"/>
      <c r="AT9" s="61"/>
      <c r="AU9" s="61"/>
      <c r="AV9" s="61"/>
      <c r="AW9" s="61"/>
      <c r="AX9" s="118"/>
      <c r="AY9" s="61"/>
      <c r="AZ9" s="61"/>
      <c r="BA9" s="61"/>
      <c r="BB9" s="61"/>
      <c r="BC9" s="61"/>
      <c r="BD9" s="61"/>
      <c r="BE9" s="61"/>
      <c r="BF9" s="61"/>
      <c r="BG9" s="61"/>
      <c r="BH9" s="61"/>
      <c r="BI9" s="61"/>
      <c r="BJ9" s="61"/>
      <c r="BK9" s="61"/>
      <c r="BL9" s="61"/>
      <c r="BM9" s="61"/>
      <c r="BN9" s="80"/>
      <c r="BO9" s="87"/>
      <c r="BP9" s="89"/>
      <c r="BQ9" s="86"/>
      <c r="BR9" s="111"/>
      <c r="BS9" s="111"/>
      <c r="BT9" s="111"/>
      <c r="BU9" s="111"/>
      <c r="BV9" s="111"/>
      <c r="BW9" s="111"/>
      <c r="BX9" s="111"/>
      <c r="BY9" s="111"/>
      <c r="BZ9" s="111"/>
      <c r="CA9" s="111"/>
      <c r="CB9" s="111"/>
      <c r="CC9" s="111"/>
      <c r="CD9" s="111"/>
      <c r="CE9" s="111"/>
      <c r="CF9" s="111"/>
      <c r="CG9" s="111"/>
      <c r="CH9" s="111"/>
      <c r="CI9" s="83"/>
      <c r="CJ9" s="111"/>
      <c r="CK9" s="111"/>
      <c r="CL9" s="111"/>
      <c r="CM9" s="111"/>
      <c r="CN9" s="111"/>
      <c r="CO9" s="111"/>
      <c r="CP9" s="111"/>
      <c r="CQ9" s="111"/>
      <c r="CR9" s="111"/>
      <c r="CS9" s="111"/>
      <c r="CT9" s="111"/>
      <c r="CU9" s="111"/>
      <c r="CV9" s="111"/>
      <c r="CW9" s="111"/>
      <c r="CX9" s="111"/>
      <c r="CY9" s="111"/>
      <c r="CZ9" s="111"/>
      <c r="DA9" s="84"/>
      <c r="DB9" s="61"/>
      <c r="DC9" s="61"/>
      <c r="DD9" s="61"/>
      <c r="DE9" s="61"/>
      <c r="DF9" s="61"/>
      <c r="DG9" s="61"/>
      <c r="DH9" s="61"/>
      <c r="DI9" s="61"/>
      <c r="DJ9" s="61"/>
      <c r="DK9" s="61"/>
      <c r="DL9" s="61"/>
      <c r="DM9" s="61"/>
      <c r="DN9" s="61"/>
      <c r="DO9" s="61"/>
      <c r="DP9" s="61"/>
      <c r="DQ9" s="80"/>
      <c r="DR9" s="87"/>
      <c r="DS9" s="89"/>
      <c r="DT9" s="86"/>
      <c r="DU9" s="111"/>
      <c r="DV9" s="111"/>
      <c r="DW9" s="111"/>
      <c r="DX9" s="111"/>
      <c r="DY9" s="111"/>
      <c r="DZ9" s="111"/>
      <c r="EA9" s="111"/>
      <c r="EB9" s="111"/>
      <c r="EC9" s="111"/>
      <c r="ED9" s="111"/>
      <c r="EE9" s="111"/>
      <c r="EF9" s="111"/>
      <c r="EG9" s="111"/>
      <c r="EH9" s="111"/>
      <c r="EI9" s="111"/>
      <c r="EJ9" s="111"/>
      <c r="EK9" s="111"/>
      <c r="EL9" s="83"/>
      <c r="EM9" s="111"/>
      <c r="EN9" s="111"/>
      <c r="EO9" s="111"/>
      <c r="EP9" s="111"/>
      <c r="EQ9" s="111"/>
      <c r="ER9" s="111"/>
      <c r="ES9" s="111"/>
      <c r="ET9" s="111"/>
      <c r="EU9" s="111"/>
      <c r="EV9" s="111"/>
      <c r="EW9" s="111"/>
      <c r="EX9" s="111"/>
      <c r="EY9" s="111"/>
      <c r="EZ9" s="111"/>
      <c r="FA9" s="111"/>
      <c r="FB9" s="111"/>
      <c r="FC9" s="111"/>
      <c r="FD9" s="84"/>
      <c r="FE9" s="111"/>
      <c r="FF9" s="111"/>
      <c r="FG9" s="111"/>
      <c r="FH9" s="61"/>
      <c r="FI9" s="111"/>
      <c r="FJ9" s="111"/>
      <c r="FK9" s="111"/>
      <c r="FL9" s="61"/>
      <c r="FM9" s="61"/>
      <c r="FN9" s="61"/>
      <c r="FO9" s="61"/>
      <c r="FP9" s="61"/>
      <c r="FQ9" s="61"/>
      <c r="FR9" s="61"/>
      <c r="FS9" s="61"/>
      <c r="FT9" s="80"/>
      <c r="FU9" s="87"/>
      <c r="FV9" s="89"/>
      <c r="FW9" s="86"/>
      <c r="FX9" s="111"/>
      <c r="FY9" s="111"/>
      <c r="FZ9" s="111"/>
      <c r="GA9" s="111"/>
      <c r="GB9" s="111"/>
      <c r="GC9" s="111"/>
      <c r="GD9" s="111"/>
      <c r="GE9" s="111"/>
      <c r="GF9" s="111"/>
      <c r="GG9" s="111"/>
      <c r="GH9" s="111"/>
      <c r="GI9" s="111"/>
      <c r="GJ9" s="111"/>
      <c r="GK9" s="111"/>
      <c r="GL9" s="111"/>
      <c r="GM9" s="111"/>
      <c r="GN9" s="111"/>
      <c r="GO9" s="83"/>
      <c r="GP9" s="111"/>
      <c r="GQ9" s="111"/>
      <c r="GR9" s="111"/>
      <c r="GS9" s="111"/>
      <c r="GT9" s="111"/>
      <c r="GU9" s="111"/>
      <c r="GV9" s="111"/>
      <c r="GW9" s="111"/>
      <c r="GX9" s="111"/>
      <c r="GY9" s="111"/>
      <c r="GZ9" s="111"/>
      <c r="HA9" s="111"/>
      <c r="HB9" s="111"/>
      <c r="HC9" s="111"/>
      <c r="HD9" s="111"/>
      <c r="HE9" s="111"/>
      <c r="HF9" s="111"/>
      <c r="HG9" s="119"/>
      <c r="HH9" s="111"/>
      <c r="HI9" s="111"/>
      <c r="HJ9" s="111"/>
      <c r="HK9" s="61"/>
      <c r="HL9" s="111"/>
      <c r="HM9" s="111"/>
      <c r="HN9" s="111"/>
      <c r="HO9" s="61"/>
      <c r="HP9" s="111"/>
      <c r="HQ9" s="111"/>
      <c r="HR9" s="111"/>
      <c r="HS9" s="61"/>
      <c r="HT9" s="111"/>
      <c r="HU9" s="111"/>
      <c r="HV9" s="61"/>
      <c r="HW9" s="80"/>
      <c r="HX9" s="87"/>
      <c r="HY9" s="82"/>
      <c r="HZ9" s="109"/>
      <c r="IA9" s="61"/>
    </row>
    <row r="10" spans="1:250" s="26" customFormat="1">
      <c r="A10" s="61"/>
      <c r="B10" s="77"/>
      <c r="C10" s="107"/>
      <c r="D10" s="78"/>
      <c r="E10" s="61"/>
      <c r="F10" s="61"/>
      <c r="G10" s="107"/>
      <c r="H10" s="61"/>
      <c r="I10" s="61"/>
      <c r="J10" s="61"/>
      <c r="K10" s="61"/>
      <c r="L10" s="130"/>
      <c r="M10" s="61"/>
      <c r="N10" s="69"/>
      <c r="O10" s="61"/>
      <c r="P10" s="107"/>
      <c r="Q10" s="61"/>
      <c r="R10" s="107"/>
      <c r="S10" s="107"/>
      <c r="T10" s="107"/>
      <c r="U10" s="61"/>
      <c r="V10" s="61"/>
      <c r="W10" s="61"/>
      <c r="X10" s="61"/>
      <c r="Y10" s="61"/>
      <c r="Z10" s="61"/>
      <c r="AA10" s="61"/>
      <c r="AB10" s="61"/>
      <c r="AC10" s="61"/>
      <c r="AD10" s="61"/>
      <c r="AE10" s="61"/>
      <c r="AF10" s="79"/>
      <c r="AG10" s="61"/>
      <c r="AH10" s="61"/>
      <c r="AI10" s="61"/>
      <c r="AJ10" s="61"/>
      <c r="AK10" s="61"/>
      <c r="AL10" s="61"/>
      <c r="AM10" s="61"/>
      <c r="AN10" s="61"/>
      <c r="AO10" s="61"/>
      <c r="AP10" s="61"/>
      <c r="AQ10" s="61"/>
      <c r="AR10" s="61"/>
      <c r="AS10" s="61"/>
      <c r="AT10" s="61"/>
      <c r="AU10" s="61"/>
      <c r="AV10" s="61"/>
      <c r="AW10" s="61"/>
      <c r="AX10" s="118"/>
      <c r="AY10" s="61"/>
      <c r="AZ10" s="61"/>
      <c r="BA10" s="61"/>
      <c r="BB10" s="61"/>
      <c r="BC10" s="61"/>
      <c r="BD10" s="61"/>
      <c r="BE10" s="61"/>
      <c r="BF10" s="61"/>
      <c r="BG10" s="61"/>
      <c r="BH10" s="61"/>
      <c r="BI10" s="61"/>
      <c r="BJ10" s="61"/>
      <c r="BK10" s="61"/>
      <c r="BL10" s="61"/>
      <c r="BM10" s="61"/>
      <c r="BN10" s="80"/>
      <c r="BO10" s="80"/>
      <c r="BP10" s="90"/>
      <c r="BQ10" s="69"/>
      <c r="BR10" s="61"/>
      <c r="BS10" s="61"/>
      <c r="BT10" s="61"/>
      <c r="BU10" s="61"/>
      <c r="BV10" s="61"/>
      <c r="BW10" s="61"/>
      <c r="BX10" s="61"/>
      <c r="BY10" s="61"/>
      <c r="BZ10" s="61"/>
      <c r="CA10" s="61"/>
      <c r="CB10" s="61"/>
      <c r="CC10" s="61"/>
      <c r="CD10" s="61"/>
      <c r="CE10" s="61"/>
      <c r="CF10" s="61"/>
      <c r="CG10" s="61"/>
      <c r="CH10" s="61"/>
      <c r="CI10" s="83"/>
      <c r="CJ10" s="61"/>
      <c r="CK10" s="61"/>
      <c r="CL10" s="61"/>
      <c r="CM10" s="61"/>
      <c r="CN10" s="61"/>
      <c r="CO10" s="61"/>
      <c r="CP10" s="61"/>
      <c r="CQ10" s="61"/>
      <c r="CR10" s="61"/>
      <c r="CS10" s="61"/>
      <c r="CT10" s="61"/>
      <c r="CU10" s="61"/>
      <c r="CV10" s="61"/>
      <c r="CW10" s="61"/>
      <c r="CX10" s="61"/>
      <c r="CY10" s="61"/>
      <c r="CZ10" s="61"/>
      <c r="DA10" s="84"/>
      <c r="DB10" s="61"/>
      <c r="DC10" s="61"/>
      <c r="DD10" s="61"/>
      <c r="DE10" s="61"/>
      <c r="DF10" s="61"/>
      <c r="DG10" s="61"/>
      <c r="DH10" s="61"/>
      <c r="DI10" s="61"/>
      <c r="DJ10" s="61"/>
      <c r="DK10" s="61"/>
      <c r="DL10" s="61"/>
      <c r="DM10" s="61"/>
      <c r="DN10" s="61"/>
      <c r="DO10" s="61"/>
      <c r="DP10" s="61"/>
      <c r="DQ10" s="80"/>
      <c r="DR10" s="80"/>
      <c r="DS10" s="90"/>
      <c r="DT10" s="69"/>
      <c r="DU10" s="61"/>
      <c r="DV10" s="61"/>
      <c r="DW10" s="61"/>
      <c r="DX10" s="61"/>
      <c r="DY10" s="61"/>
      <c r="DZ10" s="61"/>
      <c r="EA10" s="61"/>
      <c r="EB10" s="61"/>
      <c r="EC10" s="61"/>
      <c r="ED10" s="61"/>
      <c r="EE10" s="61"/>
      <c r="EF10" s="61"/>
      <c r="EG10" s="61"/>
      <c r="EH10" s="61"/>
      <c r="EI10" s="61"/>
      <c r="EJ10" s="61"/>
      <c r="EK10" s="61"/>
      <c r="EL10" s="83"/>
      <c r="EM10" s="61"/>
      <c r="EN10" s="61"/>
      <c r="EO10" s="61"/>
      <c r="EP10" s="61"/>
      <c r="EQ10" s="61"/>
      <c r="ER10" s="61"/>
      <c r="ES10" s="61"/>
      <c r="ET10" s="61"/>
      <c r="EU10" s="61"/>
      <c r="EV10" s="61"/>
      <c r="EW10" s="61"/>
      <c r="EX10" s="61"/>
      <c r="EY10" s="61"/>
      <c r="EZ10" s="61"/>
      <c r="FA10" s="61"/>
      <c r="FB10" s="61"/>
      <c r="FC10" s="61"/>
      <c r="FD10" s="84"/>
      <c r="FE10" s="61"/>
      <c r="FF10" s="61"/>
      <c r="FG10" s="61"/>
      <c r="FH10" s="61"/>
      <c r="FI10" s="61"/>
      <c r="FJ10" s="61"/>
      <c r="FK10" s="61"/>
      <c r="FL10" s="61"/>
      <c r="FM10" s="61"/>
      <c r="FN10" s="61"/>
      <c r="FO10" s="61"/>
      <c r="FP10" s="61"/>
      <c r="FQ10" s="61"/>
      <c r="FR10" s="61"/>
      <c r="FS10" s="61"/>
      <c r="FT10" s="80"/>
      <c r="FU10" s="80"/>
      <c r="FV10" s="90"/>
      <c r="FW10" s="69"/>
      <c r="FX10" s="61"/>
      <c r="FY10" s="61"/>
      <c r="FZ10" s="61"/>
      <c r="GA10" s="61"/>
      <c r="GB10" s="61"/>
      <c r="GC10" s="61"/>
      <c r="GD10" s="61"/>
      <c r="GE10" s="61"/>
      <c r="GF10" s="61"/>
      <c r="GG10" s="61"/>
      <c r="GH10" s="61"/>
      <c r="GI10" s="61"/>
      <c r="GJ10" s="61"/>
      <c r="GK10" s="61"/>
      <c r="GL10" s="61"/>
      <c r="GM10" s="61"/>
      <c r="GN10" s="61"/>
      <c r="GO10" s="83"/>
      <c r="GP10" s="61"/>
      <c r="GQ10" s="61"/>
      <c r="GR10" s="61"/>
      <c r="GS10" s="61"/>
      <c r="GT10" s="61"/>
      <c r="GU10" s="61"/>
      <c r="GV10" s="61"/>
      <c r="GW10" s="61"/>
      <c r="GX10" s="61"/>
      <c r="GY10" s="61"/>
      <c r="GZ10" s="61"/>
      <c r="HA10" s="61"/>
      <c r="HB10" s="61"/>
      <c r="HC10" s="61"/>
      <c r="HD10" s="61"/>
      <c r="HE10" s="61"/>
      <c r="HF10" s="61"/>
      <c r="HG10" s="119"/>
      <c r="HH10" s="61"/>
      <c r="HI10" s="61"/>
      <c r="HJ10" s="61"/>
      <c r="HK10" s="61"/>
      <c r="HL10" s="61"/>
      <c r="HM10" s="61"/>
      <c r="HN10" s="61"/>
      <c r="HO10" s="61"/>
      <c r="HP10" s="61"/>
      <c r="HQ10" s="61"/>
      <c r="HR10" s="61"/>
      <c r="HS10" s="61"/>
      <c r="HT10" s="61"/>
      <c r="HU10" s="61"/>
      <c r="HV10" s="61"/>
      <c r="HW10" s="80"/>
      <c r="HX10" s="80"/>
      <c r="HY10" s="82"/>
      <c r="HZ10" s="61"/>
      <c r="IA10" s="61"/>
    </row>
    <row r="11" spans="1:250" s="26" customFormat="1">
      <c r="A11" s="111"/>
      <c r="B11" s="86"/>
      <c r="C11" s="111"/>
      <c r="D11" s="88"/>
      <c r="E11" s="111"/>
      <c r="F11" s="111"/>
      <c r="G11" s="111"/>
      <c r="H11" s="111"/>
      <c r="I11" s="111"/>
      <c r="J11" s="111"/>
      <c r="K11" s="111"/>
      <c r="L11" s="88"/>
      <c r="M11" s="61"/>
      <c r="N11" s="86"/>
      <c r="O11" s="111"/>
      <c r="P11" s="111"/>
      <c r="Q11" s="111"/>
      <c r="R11" s="111"/>
      <c r="S11" s="111"/>
      <c r="T11" s="111"/>
      <c r="U11" s="111"/>
      <c r="V11" s="111"/>
      <c r="W11" s="111"/>
      <c r="X11" s="111"/>
      <c r="Y11" s="111"/>
      <c r="Z11" s="111"/>
      <c r="AA11" s="111"/>
      <c r="AB11" s="111"/>
      <c r="AC11" s="111"/>
      <c r="AD11" s="111"/>
      <c r="AE11" s="111"/>
      <c r="AF11" s="79"/>
      <c r="AG11" s="111"/>
      <c r="AH11" s="111"/>
      <c r="AI11" s="111"/>
      <c r="AJ11" s="111"/>
      <c r="AK11" s="111"/>
      <c r="AL11" s="111"/>
      <c r="AM11" s="111"/>
      <c r="AN11" s="111"/>
      <c r="AO11" s="111"/>
      <c r="AP11" s="111"/>
      <c r="AQ11" s="111"/>
      <c r="AR11" s="111"/>
      <c r="AS11" s="111"/>
      <c r="AT11" s="111"/>
      <c r="AU11" s="111"/>
      <c r="AV11" s="111"/>
      <c r="AW11" s="111"/>
      <c r="AX11" s="120"/>
      <c r="AY11" s="61"/>
      <c r="AZ11" s="61"/>
      <c r="BA11" s="61"/>
      <c r="BB11" s="61"/>
      <c r="BC11" s="61"/>
      <c r="BD11" s="61"/>
      <c r="BE11" s="61"/>
      <c r="BF11" s="61"/>
      <c r="BG11" s="61"/>
      <c r="BH11" s="61"/>
      <c r="BI11" s="61"/>
      <c r="BJ11" s="61"/>
      <c r="BK11" s="61"/>
      <c r="BL11" s="61"/>
      <c r="BM11" s="61"/>
      <c r="BN11" s="80"/>
      <c r="BO11" s="87"/>
      <c r="BP11" s="89"/>
      <c r="BQ11" s="86"/>
      <c r="BR11" s="111"/>
      <c r="BS11" s="111"/>
      <c r="BT11" s="111"/>
      <c r="BU11" s="111"/>
      <c r="BV11" s="111"/>
      <c r="BW11" s="111"/>
      <c r="BX11" s="111"/>
      <c r="BY11" s="111"/>
      <c r="BZ11" s="111"/>
      <c r="CA11" s="111"/>
      <c r="CB11" s="111"/>
      <c r="CC11" s="111"/>
      <c r="CD11" s="111"/>
      <c r="CE11" s="111"/>
      <c r="CF11" s="111"/>
      <c r="CG11" s="111"/>
      <c r="CH11" s="111"/>
      <c r="CI11" s="83"/>
      <c r="CJ11" s="111"/>
      <c r="CK11" s="111"/>
      <c r="CL11" s="111"/>
      <c r="CM11" s="111"/>
      <c r="CN11" s="111"/>
      <c r="CO11" s="111"/>
      <c r="CP11" s="111"/>
      <c r="CQ11" s="111"/>
      <c r="CR11" s="111"/>
      <c r="CS11" s="111"/>
      <c r="CT11" s="111"/>
      <c r="CU11" s="111"/>
      <c r="CV11" s="111"/>
      <c r="CW11" s="111"/>
      <c r="CX11" s="111"/>
      <c r="CY11" s="111"/>
      <c r="CZ11" s="111"/>
      <c r="DA11" s="84"/>
      <c r="DB11" s="61"/>
      <c r="DC11" s="61"/>
      <c r="DD11" s="61"/>
      <c r="DE11" s="61"/>
      <c r="DF11" s="61"/>
      <c r="DG11" s="61"/>
      <c r="DH11" s="61"/>
      <c r="DI11" s="61"/>
      <c r="DJ11" s="61"/>
      <c r="DK11" s="61"/>
      <c r="DL11" s="61"/>
      <c r="DM11" s="61"/>
      <c r="DN11" s="61"/>
      <c r="DO11" s="61"/>
      <c r="DP11" s="61"/>
      <c r="DQ11" s="80"/>
      <c r="DR11" s="87"/>
      <c r="DS11" s="89"/>
      <c r="DT11" s="86"/>
      <c r="DU11" s="111"/>
      <c r="DV11" s="111"/>
      <c r="DW11" s="111"/>
      <c r="DX11" s="111"/>
      <c r="DY11" s="111"/>
      <c r="DZ11" s="111"/>
      <c r="EA11" s="111"/>
      <c r="EB11" s="111"/>
      <c r="EC11" s="111"/>
      <c r="ED11" s="111"/>
      <c r="EE11" s="111"/>
      <c r="EF11" s="111"/>
      <c r="EG11" s="111"/>
      <c r="EH11" s="111"/>
      <c r="EI11" s="111"/>
      <c r="EJ11" s="111"/>
      <c r="EK11" s="111"/>
      <c r="EL11" s="83"/>
      <c r="EM11" s="111"/>
      <c r="EN11" s="111"/>
      <c r="EO11" s="111"/>
      <c r="EP11" s="111"/>
      <c r="EQ11" s="111"/>
      <c r="ER11" s="111"/>
      <c r="ES11" s="111"/>
      <c r="ET11" s="111"/>
      <c r="EU11" s="111"/>
      <c r="EV11" s="111"/>
      <c r="EW11" s="111"/>
      <c r="EX11" s="111"/>
      <c r="EY11" s="111"/>
      <c r="EZ11" s="111"/>
      <c r="FA11" s="111"/>
      <c r="FB11" s="111"/>
      <c r="FC11" s="111"/>
      <c r="FD11" s="84"/>
      <c r="FE11" s="111"/>
      <c r="FF11" s="111"/>
      <c r="FG11" s="111"/>
      <c r="FH11" s="61"/>
      <c r="FI11" s="111"/>
      <c r="FJ11" s="111"/>
      <c r="FK11" s="111"/>
      <c r="FL11" s="61"/>
      <c r="FM11" s="111"/>
      <c r="FN11" s="111"/>
      <c r="FO11" s="111"/>
      <c r="FP11" s="61"/>
      <c r="FQ11" s="111"/>
      <c r="FR11" s="111"/>
      <c r="FS11" s="61"/>
      <c r="FT11" s="80"/>
      <c r="FU11" s="87"/>
      <c r="FV11" s="89"/>
      <c r="FW11" s="86"/>
      <c r="FX11" s="111"/>
      <c r="FY11" s="111"/>
      <c r="FZ11" s="111"/>
      <c r="GA11" s="111"/>
      <c r="GB11" s="111"/>
      <c r="GC11" s="111"/>
      <c r="GD11" s="111"/>
      <c r="GE11" s="111"/>
      <c r="GF11" s="111"/>
      <c r="GG11" s="111"/>
      <c r="GH11" s="111"/>
      <c r="GI11" s="111"/>
      <c r="GJ11" s="111"/>
      <c r="GK11" s="111"/>
      <c r="GL11" s="111"/>
      <c r="GM11" s="111"/>
      <c r="GN11" s="111"/>
      <c r="GO11" s="83"/>
      <c r="GP11" s="111"/>
      <c r="GQ11" s="111"/>
      <c r="GR11" s="111"/>
      <c r="GS11" s="111"/>
      <c r="GT11" s="111"/>
      <c r="GU11" s="111"/>
      <c r="GV11" s="111"/>
      <c r="GW11" s="111"/>
      <c r="GX11" s="111"/>
      <c r="GY11" s="111"/>
      <c r="GZ11" s="111"/>
      <c r="HA11" s="111"/>
      <c r="HB11" s="111"/>
      <c r="HC11" s="111"/>
      <c r="HD11" s="111"/>
      <c r="HE11" s="111"/>
      <c r="HF11" s="111"/>
      <c r="HG11" s="119"/>
      <c r="HH11" s="111"/>
      <c r="HI11" s="111"/>
      <c r="HJ11" s="111"/>
      <c r="HK11" s="61"/>
      <c r="HL11" s="111"/>
      <c r="HM11" s="111"/>
      <c r="HN11" s="111"/>
      <c r="HO11" s="61"/>
      <c r="HP11" s="111"/>
      <c r="HQ11" s="111"/>
      <c r="HR11" s="111"/>
      <c r="HS11" s="61"/>
      <c r="HT11" s="111"/>
      <c r="HU11" s="111"/>
      <c r="HV11" s="61"/>
      <c r="HW11" s="80"/>
      <c r="HX11" s="87"/>
      <c r="HY11" s="82"/>
      <c r="HZ11" s="109"/>
      <c r="IA11" s="61"/>
    </row>
    <row r="12" spans="1:250" s="26" customFormat="1">
      <c r="A12" s="61"/>
      <c r="B12" s="77"/>
      <c r="C12" s="107"/>
      <c r="D12" s="78"/>
      <c r="E12" s="61"/>
      <c r="F12" s="61"/>
      <c r="G12" s="107"/>
      <c r="H12" s="61"/>
      <c r="I12" s="61"/>
      <c r="J12" s="61"/>
      <c r="K12" s="61"/>
      <c r="L12" s="130"/>
      <c r="M12" s="61"/>
      <c r="N12" s="69"/>
      <c r="O12" s="61"/>
      <c r="P12" s="107"/>
      <c r="Q12" s="61"/>
      <c r="R12" s="107"/>
      <c r="S12" s="107"/>
      <c r="T12" s="107"/>
      <c r="U12" s="61"/>
      <c r="V12" s="61"/>
      <c r="W12" s="61"/>
      <c r="X12" s="61"/>
      <c r="Y12" s="61"/>
      <c r="Z12" s="61"/>
      <c r="AA12" s="61"/>
      <c r="AB12" s="61"/>
      <c r="AC12" s="61"/>
      <c r="AD12" s="61"/>
      <c r="AE12" s="61"/>
      <c r="AF12" s="79"/>
      <c r="AG12" s="61"/>
      <c r="AH12" s="61"/>
      <c r="AI12" s="61"/>
      <c r="AJ12" s="61"/>
      <c r="AK12" s="61"/>
      <c r="AL12" s="61"/>
      <c r="AM12" s="61"/>
      <c r="AN12" s="61"/>
      <c r="AO12" s="61"/>
      <c r="AP12" s="61"/>
      <c r="AQ12" s="61"/>
      <c r="AR12" s="61"/>
      <c r="AS12" s="61"/>
      <c r="AT12" s="61"/>
      <c r="AU12" s="61"/>
      <c r="AV12" s="61"/>
      <c r="AW12" s="61"/>
      <c r="AX12" s="118"/>
      <c r="AY12" s="61"/>
      <c r="AZ12" s="61"/>
      <c r="BA12" s="61"/>
      <c r="BB12" s="61"/>
      <c r="BC12" s="61"/>
      <c r="BD12" s="61"/>
      <c r="BE12" s="61"/>
      <c r="BF12" s="61"/>
      <c r="BG12" s="61"/>
      <c r="BH12" s="61"/>
      <c r="BI12" s="61"/>
      <c r="BJ12" s="61"/>
      <c r="BK12" s="61"/>
      <c r="BL12" s="61"/>
      <c r="BM12" s="61"/>
      <c r="BN12" s="80"/>
      <c r="BO12" s="81"/>
      <c r="BP12" s="82"/>
      <c r="BQ12" s="69"/>
      <c r="BR12" s="61"/>
      <c r="BS12" s="61"/>
      <c r="BT12" s="61"/>
      <c r="BU12" s="61"/>
      <c r="BV12" s="61"/>
      <c r="BW12" s="61"/>
      <c r="BX12" s="61"/>
      <c r="BY12" s="61"/>
      <c r="BZ12" s="61"/>
      <c r="CA12" s="61"/>
      <c r="CB12" s="61"/>
      <c r="CC12" s="61"/>
      <c r="CD12" s="61"/>
      <c r="CE12" s="61"/>
      <c r="CF12" s="61"/>
      <c r="CG12" s="61"/>
      <c r="CH12" s="61"/>
      <c r="CI12" s="83"/>
      <c r="CJ12" s="61"/>
      <c r="CK12" s="61"/>
      <c r="CL12" s="61"/>
      <c r="CM12" s="61"/>
      <c r="CN12" s="61"/>
      <c r="CO12" s="61"/>
      <c r="CP12" s="61"/>
      <c r="CQ12" s="61"/>
      <c r="CR12" s="61"/>
      <c r="CS12" s="61"/>
      <c r="CT12" s="61"/>
      <c r="CU12" s="61"/>
      <c r="CV12" s="61"/>
      <c r="CW12" s="61"/>
      <c r="CX12" s="61"/>
      <c r="CY12" s="61"/>
      <c r="CZ12" s="61"/>
      <c r="DA12" s="84"/>
      <c r="DB12" s="61"/>
      <c r="DC12" s="61"/>
      <c r="DD12" s="61"/>
      <c r="DE12" s="61"/>
      <c r="DF12" s="61"/>
      <c r="DG12" s="61"/>
      <c r="DH12" s="61"/>
      <c r="DI12" s="61"/>
      <c r="DJ12" s="61"/>
      <c r="DK12" s="61"/>
      <c r="DL12" s="61"/>
      <c r="DM12" s="61"/>
      <c r="DN12" s="61"/>
      <c r="DO12" s="61"/>
      <c r="DP12" s="61"/>
      <c r="DQ12" s="80"/>
      <c r="DR12" s="80"/>
      <c r="DS12" s="90"/>
      <c r="DT12" s="69"/>
      <c r="DU12" s="61"/>
      <c r="DV12" s="61"/>
      <c r="DW12" s="61"/>
      <c r="DX12" s="61"/>
      <c r="DY12" s="61"/>
      <c r="DZ12" s="61"/>
      <c r="EA12" s="61"/>
      <c r="EB12" s="61"/>
      <c r="EC12" s="61"/>
      <c r="ED12" s="61"/>
      <c r="EE12" s="61"/>
      <c r="EF12" s="61"/>
      <c r="EG12" s="61"/>
      <c r="EH12" s="61"/>
      <c r="EI12" s="61"/>
      <c r="EJ12" s="61"/>
      <c r="EK12" s="61"/>
      <c r="EL12" s="83"/>
      <c r="EM12" s="61"/>
      <c r="EN12" s="61"/>
      <c r="EO12" s="61"/>
      <c r="EP12" s="61"/>
      <c r="EQ12" s="61"/>
      <c r="ER12" s="61"/>
      <c r="ES12" s="61"/>
      <c r="ET12" s="61"/>
      <c r="EU12" s="61"/>
      <c r="EV12" s="61"/>
      <c r="EW12" s="61"/>
      <c r="EX12" s="61"/>
      <c r="EY12" s="61"/>
      <c r="EZ12" s="61"/>
      <c r="FA12" s="61"/>
      <c r="FB12" s="61"/>
      <c r="FC12" s="61"/>
      <c r="FD12" s="84"/>
      <c r="FE12" s="61"/>
      <c r="FF12" s="61"/>
      <c r="FG12" s="61"/>
      <c r="FH12" s="61"/>
      <c r="FI12" s="61"/>
      <c r="FJ12" s="61"/>
      <c r="FK12" s="61"/>
      <c r="FL12" s="61"/>
      <c r="FM12" s="61"/>
      <c r="FN12" s="61"/>
      <c r="FO12" s="61"/>
      <c r="FP12" s="61"/>
      <c r="FQ12" s="61"/>
      <c r="FR12" s="61"/>
      <c r="FS12" s="61"/>
      <c r="FT12" s="80"/>
      <c r="FU12" s="80"/>
      <c r="FV12" s="90"/>
      <c r="FW12" s="69"/>
      <c r="FX12" s="61"/>
      <c r="FY12" s="61"/>
      <c r="FZ12" s="61"/>
      <c r="GA12" s="61"/>
      <c r="GB12" s="61"/>
      <c r="GC12" s="61"/>
      <c r="GD12" s="61"/>
      <c r="GE12" s="61"/>
      <c r="GF12" s="61"/>
      <c r="GG12" s="61"/>
      <c r="GH12" s="61"/>
      <c r="GI12" s="61"/>
      <c r="GJ12" s="61"/>
      <c r="GK12" s="61"/>
      <c r="GL12" s="61"/>
      <c r="GM12" s="61"/>
      <c r="GN12" s="61"/>
      <c r="GO12" s="83"/>
      <c r="GP12" s="61"/>
      <c r="GQ12" s="61"/>
      <c r="GR12" s="61"/>
      <c r="GS12" s="61"/>
      <c r="GT12" s="61"/>
      <c r="GU12" s="61"/>
      <c r="GV12" s="61"/>
      <c r="GW12" s="61"/>
      <c r="GX12" s="61"/>
      <c r="GY12" s="61"/>
      <c r="GZ12" s="61"/>
      <c r="HA12" s="61"/>
      <c r="HB12" s="61"/>
      <c r="HC12" s="61"/>
      <c r="HD12" s="61"/>
      <c r="HE12" s="61"/>
      <c r="HF12" s="61"/>
      <c r="HG12" s="119"/>
      <c r="HH12" s="61"/>
      <c r="HI12" s="61"/>
      <c r="HJ12" s="61"/>
      <c r="HK12" s="61"/>
      <c r="HL12" s="61"/>
      <c r="HM12" s="61"/>
      <c r="HN12" s="61"/>
      <c r="HO12" s="61"/>
      <c r="HP12" s="61"/>
      <c r="HQ12" s="61"/>
      <c r="HR12" s="61"/>
      <c r="HS12" s="61"/>
      <c r="HT12" s="61"/>
      <c r="HU12" s="61"/>
      <c r="HV12" s="61"/>
      <c r="HW12" s="80"/>
      <c r="HX12" s="80"/>
      <c r="HY12" s="82"/>
      <c r="HZ12" s="61"/>
      <c r="IA12" s="61"/>
    </row>
    <row r="13" spans="1:250" s="26" customFormat="1">
      <c r="A13" s="61"/>
      <c r="B13" s="77"/>
      <c r="C13" s="61"/>
      <c r="D13" s="78"/>
      <c r="E13" s="61"/>
      <c r="F13" s="61"/>
      <c r="G13" s="107"/>
      <c r="H13" s="61"/>
      <c r="I13" s="61"/>
      <c r="J13" s="61"/>
      <c r="K13" s="61"/>
      <c r="L13" s="130"/>
      <c r="M13" s="61"/>
      <c r="N13" s="69"/>
      <c r="O13" s="61"/>
      <c r="P13" s="107"/>
      <c r="Q13" s="61"/>
      <c r="R13" s="107"/>
      <c r="S13" s="107"/>
      <c r="T13" s="107"/>
      <c r="U13" s="61"/>
      <c r="V13" s="61"/>
      <c r="W13" s="61"/>
      <c r="X13" s="61"/>
      <c r="Y13" s="61"/>
      <c r="Z13" s="61"/>
      <c r="AA13" s="61"/>
      <c r="AB13" s="61"/>
      <c r="AC13" s="61"/>
      <c r="AD13" s="61"/>
      <c r="AE13" s="61"/>
      <c r="AF13" s="79"/>
      <c r="AG13" s="61"/>
      <c r="AH13" s="61"/>
      <c r="AI13" s="61"/>
      <c r="AJ13" s="61"/>
      <c r="AK13" s="61"/>
      <c r="AL13" s="61"/>
      <c r="AM13" s="61"/>
      <c r="AN13" s="61"/>
      <c r="AO13" s="61"/>
      <c r="AP13" s="61"/>
      <c r="AQ13" s="61"/>
      <c r="AR13" s="61"/>
      <c r="AS13" s="61"/>
      <c r="AT13" s="61"/>
      <c r="AU13" s="61"/>
      <c r="AV13" s="61"/>
      <c r="AW13" s="61"/>
      <c r="AX13" s="118"/>
      <c r="AY13" s="61"/>
      <c r="AZ13" s="61"/>
      <c r="BA13" s="61"/>
      <c r="BB13" s="61"/>
      <c r="BC13" s="61"/>
      <c r="BD13" s="61"/>
      <c r="BE13" s="61"/>
      <c r="BF13" s="61"/>
      <c r="BG13" s="61"/>
      <c r="BH13" s="61"/>
      <c r="BI13" s="61"/>
      <c r="BJ13" s="61"/>
      <c r="BK13" s="61"/>
      <c r="BL13" s="61"/>
      <c r="BM13" s="61"/>
      <c r="BN13" s="80"/>
      <c r="BO13" s="81"/>
      <c r="BP13" s="82"/>
      <c r="BQ13" s="86"/>
      <c r="BR13" s="111"/>
      <c r="BS13" s="111"/>
      <c r="BT13" s="111"/>
      <c r="BU13" s="111"/>
      <c r="BV13" s="111"/>
      <c r="BW13" s="111"/>
      <c r="BX13" s="111"/>
      <c r="BY13" s="111"/>
      <c r="BZ13" s="111"/>
      <c r="CA13" s="111"/>
      <c r="CB13" s="111"/>
      <c r="CC13" s="111"/>
      <c r="CD13" s="111"/>
      <c r="CE13" s="111"/>
      <c r="CF13" s="111"/>
      <c r="CG13" s="111"/>
      <c r="CH13" s="111"/>
      <c r="CI13" s="83"/>
      <c r="CJ13" s="111"/>
      <c r="CK13" s="111"/>
      <c r="CL13" s="111"/>
      <c r="CM13" s="111"/>
      <c r="CN13" s="111"/>
      <c r="CO13" s="111"/>
      <c r="CP13" s="111"/>
      <c r="CQ13" s="111"/>
      <c r="CR13" s="111"/>
      <c r="CS13" s="111"/>
      <c r="CT13" s="111"/>
      <c r="CU13" s="111"/>
      <c r="CV13" s="111"/>
      <c r="CW13" s="111"/>
      <c r="CX13" s="111"/>
      <c r="CY13" s="111"/>
      <c r="CZ13" s="111"/>
      <c r="DA13" s="84"/>
      <c r="DB13" s="61"/>
      <c r="DC13" s="61"/>
      <c r="DD13" s="61"/>
      <c r="DE13" s="61"/>
      <c r="DF13" s="61"/>
      <c r="DG13" s="61"/>
      <c r="DH13" s="61"/>
      <c r="DI13" s="61"/>
      <c r="DJ13" s="61"/>
      <c r="DK13" s="61"/>
      <c r="DL13" s="61"/>
      <c r="DM13" s="61"/>
      <c r="DN13" s="61"/>
      <c r="DO13" s="61"/>
      <c r="DP13" s="61"/>
      <c r="DQ13" s="80"/>
      <c r="DR13" s="87"/>
      <c r="DS13" s="89"/>
      <c r="DT13" s="86"/>
      <c r="DU13" s="111"/>
      <c r="DV13" s="111"/>
      <c r="DW13" s="111"/>
      <c r="DX13" s="111"/>
      <c r="DY13" s="111"/>
      <c r="DZ13" s="111"/>
      <c r="EA13" s="111"/>
      <c r="EB13" s="111"/>
      <c r="EC13" s="111"/>
      <c r="ED13" s="111"/>
      <c r="EE13" s="111"/>
      <c r="EF13" s="111"/>
      <c r="EG13" s="111"/>
      <c r="EH13" s="111"/>
      <c r="EI13" s="111"/>
      <c r="EJ13" s="111"/>
      <c r="EK13" s="111"/>
      <c r="EL13" s="83"/>
      <c r="EM13" s="111"/>
      <c r="EN13" s="111"/>
      <c r="EO13" s="111"/>
      <c r="EP13" s="111"/>
      <c r="EQ13" s="111"/>
      <c r="ER13" s="111"/>
      <c r="ES13" s="111"/>
      <c r="ET13" s="111"/>
      <c r="EU13" s="111"/>
      <c r="EV13" s="111"/>
      <c r="EW13" s="111"/>
      <c r="EX13" s="111"/>
      <c r="EY13" s="111"/>
      <c r="EZ13" s="111"/>
      <c r="FA13" s="111"/>
      <c r="FB13" s="111"/>
      <c r="FC13" s="111"/>
      <c r="FD13" s="84"/>
      <c r="FE13" s="111"/>
      <c r="FF13" s="111"/>
      <c r="FG13" s="111"/>
      <c r="FH13" s="61"/>
      <c r="FI13" s="111"/>
      <c r="FJ13" s="111"/>
      <c r="FK13" s="111"/>
      <c r="FL13" s="61"/>
      <c r="FM13" s="61"/>
      <c r="FN13" s="61"/>
      <c r="FO13" s="61"/>
      <c r="FP13" s="61"/>
      <c r="FQ13" s="61"/>
      <c r="FR13" s="61"/>
      <c r="FS13" s="61"/>
      <c r="FT13" s="80"/>
      <c r="FU13" s="87"/>
      <c r="FV13" s="89"/>
      <c r="FW13" s="86"/>
      <c r="FX13" s="111"/>
      <c r="FY13" s="111"/>
      <c r="FZ13" s="111"/>
      <c r="GA13" s="111"/>
      <c r="GB13" s="111"/>
      <c r="GC13" s="111"/>
      <c r="GD13" s="111"/>
      <c r="GE13" s="111"/>
      <c r="GF13" s="111"/>
      <c r="GG13" s="111"/>
      <c r="GH13" s="111"/>
      <c r="GI13" s="111"/>
      <c r="GJ13" s="111"/>
      <c r="GK13" s="111"/>
      <c r="GL13" s="111"/>
      <c r="GM13" s="111"/>
      <c r="GN13" s="111"/>
      <c r="GO13" s="83"/>
      <c r="GP13" s="111"/>
      <c r="GQ13" s="111"/>
      <c r="GR13" s="111"/>
      <c r="GS13" s="111"/>
      <c r="GT13" s="111"/>
      <c r="GU13" s="111"/>
      <c r="GV13" s="111"/>
      <c r="GW13" s="111"/>
      <c r="GX13" s="111"/>
      <c r="GY13" s="111"/>
      <c r="GZ13" s="111"/>
      <c r="HA13" s="111"/>
      <c r="HB13" s="111"/>
      <c r="HC13" s="111"/>
      <c r="HD13" s="111"/>
      <c r="HE13" s="111"/>
      <c r="HF13" s="111"/>
      <c r="HG13" s="119"/>
      <c r="HH13" s="111"/>
      <c r="HI13" s="111"/>
      <c r="HJ13" s="111"/>
      <c r="HK13" s="61"/>
      <c r="HL13" s="111"/>
      <c r="HM13" s="111"/>
      <c r="HN13" s="111"/>
      <c r="HO13" s="61"/>
      <c r="HP13" s="111"/>
      <c r="HQ13" s="111"/>
      <c r="HR13" s="111"/>
      <c r="HS13" s="61"/>
      <c r="HT13" s="111"/>
      <c r="HU13" s="111"/>
      <c r="HV13" s="61"/>
      <c r="HW13" s="80"/>
      <c r="HX13" s="87"/>
      <c r="HY13" s="82"/>
      <c r="HZ13" s="109"/>
      <c r="IA13" s="61"/>
    </row>
    <row r="14" spans="1:250" s="26" customFormat="1">
      <c r="A14" s="61"/>
      <c r="B14" s="77"/>
      <c r="C14" s="61"/>
      <c r="D14" s="78"/>
      <c r="E14" s="61"/>
      <c r="F14" s="61"/>
      <c r="G14" s="107"/>
      <c r="H14" s="61"/>
      <c r="I14" s="61"/>
      <c r="J14" s="61"/>
      <c r="K14" s="61"/>
      <c r="L14" s="130"/>
      <c r="M14" s="61"/>
      <c r="N14" s="69"/>
      <c r="O14" s="61"/>
      <c r="P14" s="107"/>
      <c r="Q14" s="61"/>
      <c r="R14" s="107"/>
      <c r="S14" s="107"/>
      <c r="T14" s="107"/>
      <c r="U14" s="61"/>
      <c r="V14" s="61"/>
      <c r="W14" s="61"/>
      <c r="X14" s="61"/>
      <c r="Y14" s="61"/>
      <c r="Z14" s="61"/>
      <c r="AA14" s="61"/>
      <c r="AB14" s="61"/>
      <c r="AC14" s="61"/>
      <c r="AD14" s="61"/>
      <c r="AE14" s="61"/>
      <c r="AF14" s="79"/>
      <c r="AG14" s="61"/>
      <c r="AH14" s="61"/>
      <c r="AI14" s="61"/>
      <c r="AJ14" s="61"/>
      <c r="AK14" s="61"/>
      <c r="AL14" s="61"/>
      <c r="AM14" s="61"/>
      <c r="AN14" s="61"/>
      <c r="AO14" s="61"/>
      <c r="AP14" s="61"/>
      <c r="AQ14" s="61"/>
      <c r="AR14" s="61"/>
      <c r="AS14" s="61"/>
      <c r="AT14" s="61"/>
      <c r="AU14" s="61"/>
      <c r="AV14" s="61"/>
      <c r="AW14" s="61"/>
      <c r="AX14" s="118"/>
      <c r="AY14" s="61"/>
      <c r="AZ14" s="61"/>
      <c r="BA14" s="61"/>
      <c r="BB14" s="61"/>
      <c r="BC14" s="61"/>
      <c r="BD14" s="61"/>
      <c r="BE14" s="61"/>
      <c r="BF14" s="61"/>
      <c r="BG14" s="61"/>
      <c r="BH14" s="61"/>
      <c r="BI14" s="61"/>
      <c r="BJ14" s="61"/>
      <c r="BK14" s="61"/>
      <c r="BL14" s="61"/>
      <c r="BM14" s="61"/>
      <c r="BN14" s="80"/>
      <c r="BO14" s="81"/>
      <c r="BP14" s="82"/>
      <c r="BQ14" s="86"/>
      <c r="BR14" s="111"/>
      <c r="BS14" s="111"/>
      <c r="BT14" s="111"/>
      <c r="BU14" s="111"/>
      <c r="BV14" s="111"/>
      <c r="BW14" s="111"/>
      <c r="BX14" s="111"/>
      <c r="BY14" s="111"/>
      <c r="BZ14" s="111"/>
      <c r="CA14" s="111"/>
      <c r="CB14" s="111"/>
      <c r="CC14" s="111"/>
      <c r="CD14" s="111"/>
      <c r="CE14" s="111"/>
      <c r="CF14" s="111"/>
      <c r="CG14" s="111"/>
      <c r="CH14" s="111"/>
      <c r="CI14" s="83"/>
      <c r="CJ14" s="111"/>
      <c r="CK14" s="111"/>
      <c r="CL14" s="111"/>
      <c r="CM14" s="111"/>
      <c r="CN14" s="111"/>
      <c r="CO14" s="111"/>
      <c r="CP14" s="111"/>
      <c r="CQ14" s="111"/>
      <c r="CR14" s="111"/>
      <c r="CS14" s="111"/>
      <c r="CT14" s="111"/>
      <c r="CU14" s="111"/>
      <c r="CV14" s="111"/>
      <c r="CW14" s="111"/>
      <c r="CX14" s="111"/>
      <c r="CY14" s="111"/>
      <c r="CZ14" s="111"/>
      <c r="DA14" s="84"/>
      <c r="DB14" s="61"/>
      <c r="DC14" s="61"/>
      <c r="DD14" s="61"/>
      <c r="DE14" s="61"/>
      <c r="DF14" s="61"/>
      <c r="DG14" s="61"/>
      <c r="DH14" s="61"/>
      <c r="DI14" s="61"/>
      <c r="DJ14" s="61"/>
      <c r="DK14" s="61"/>
      <c r="DL14" s="61"/>
      <c r="DM14" s="61"/>
      <c r="DN14" s="61"/>
      <c r="DO14" s="61"/>
      <c r="DP14" s="61"/>
      <c r="DQ14" s="80"/>
      <c r="DR14" s="87"/>
      <c r="DS14" s="89"/>
      <c r="DT14" s="86"/>
      <c r="DU14" s="111"/>
      <c r="DV14" s="111"/>
      <c r="DW14" s="111"/>
      <c r="DX14" s="111"/>
      <c r="DY14" s="111"/>
      <c r="DZ14" s="111"/>
      <c r="EA14" s="111"/>
      <c r="EB14" s="111"/>
      <c r="EC14" s="111"/>
      <c r="ED14" s="111"/>
      <c r="EE14" s="111"/>
      <c r="EF14" s="111"/>
      <c r="EG14" s="111"/>
      <c r="EH14" s="111"/>
      <c r="EI14" s="111"/>
      <c r="EJ14" s="111"/>
      <c r="EK14" s="111"/>
      <c r="EL14" s="83"/>
      <c r="EM14" s="111"/>
      <c r="EN14" s="111"/>
      <c r="EO14" s="111"/>
      <c r="EP14" s="111"/>
      <c r="EQ14" s="111"/>
      <c r="ER14" s="111"/>
      <c r="ES14" s="111"/>
      <c r="ET14" s="111"/>
      <c r="EU14" s="111"/>
      <c r="EV14" s="111"/>
      <c r="EW14" s="111"/>
      <c r="EX14" s="111"/>
      <c r="EY14" s="111"/>
      <c r="EZ14" s="111"/>
      <c r="FA14" s="111"/>
      <c r="FB14" s="111"/>
      <c r="FC14" s="111"/>
      <c r="FD14" s="84"/>
      <c r="FE14" s="111"/>
      <c r="FF14" s="111"/>
      <c r="FG14" s="111"/>
      <c r="FH14" s="61"/>
      <c r="FI14" s="111"/>
      <c r="FJ14" s="111"/>
      <c r="FK14" s="111"/>
      <c r="FL14" s="61"/>
      <c r="FM14" s="61"/>
      <c r="FN14" s="61"/>
      <c r="FO14" s="61"/>
      <c r="FP14" s="61"/>
      <c r="FQ14" s="61"/>
      <c r="FR14" s="61"/>
      <c r="FS14" s="61"/>
      <c r="FT14" s="80"/>
      <c r="FU14" s="87"/>
      <c r="FV14" s="89"/>
      <c r="FW14" s="86"/>
      <c r="FX14" s="111"/>
      <c r="FY14" s="111"/>
      <c r="FZ14" s="111"/>
      <c r="GA14" s="111"/>
      <c r="GB14" s="111"/>
      <c r="GC14" s="111"/>
      <c r="GD14" s="111"/>
      <c r="GE14" s="111"/>
      <c r="GF14" s="111"/>
      <c r="GG14" s="111"/>
      <c r="GH14" s="111"/>
      <c r="GI14" s="111"/>
      <c r="GJ14" s="111"/>
      <c r="GK14" s="111"/>
      <c r="GL14" s="111"/>
      <c r="GM14" s="111"/>
      <c r="GN14" s="111"/>
      <c r="GO14" s="83"/>
      <c r="GP14" s="111"/>
      <c r="GQ14" s="111"/>
      <c r="GR14" s="111"/>
      <c r="GS14" s="111"/>
      <c r="GT14" s="111"/>
      <c r="GU14" s="111"/>
      <c r="GV14" s="111"/>
      <c r="GW14" s="111"/>
      <c r="GX14" s="111"/>
      <c r="GY14" s="111"/>
      <c r="GZ14" s="111"/>
      <c r="HA14" s="111"/>
      <c r="HB14" s="111"/>
      <c r="HC14" s="111"/>
      <c r="HD14" s="111"/>
      <c r="HE14" s="111"/>
      <c r="HF14" s="111"/>
      <c r="HG14" s="119"/>
      <c r="HH14" s="111"/>
      <c r="HI14" s="111"/>
      <c r="HJ14" s="111"/>
      <c r="HK14" s="61"/>
      <c r="HL14" s="111"/>
      <c r="HM14" s="111"/>
      <c r="HN14" s="111"/>
      <c r="HO14" s="61"/>
      <c r="HP14" s="111"/>
      <c r="HQ14" s="111"/>
      <c r="HR14" s="111"/>
      <c r="HS14" s="61"/>
      <c r="HT14" s="111"/>
      <c r="HU14" s="111"/>
      <c r="HV14" s="61"/>
      <c r="HW14" s="80"/>
      <c r="HX14" s="87"/>
      <c r="HY14" s="82"/>
      <c r="HZ14" s="109"/>
      <c r="IA14" s="61"/>
    </row>
    <row r="15" spans="1:250" s="26" customFormat="1">
      <c r="A15" s="61"/>
      <c r="B15" s="77"/>
      <c r="C15" s="107"/>
      <c r="D15" s="78"/>
      <c r="E15" s="61"/>
      <c r="F15" s="61"/>
      <c r="G15" s="61"/>
      <c r="H15" s="61"/>
      <c r="I15" s="61"/>
      <c r="J15" s="61"/>
      <c r="K15" s="107"/>
      <c r="L15" s="78"/>
      <c r="M15" s="107"/>
      <c r="N15" s="69"/>
      <c r="O15" s="112"/>
      <c r="P15" s="61"/>
      <c r="Q15" s="53"/>
      <c r="R15" s="107"/>
      <c r="S15" s="107"/>
      <c r="T15" s="107"/>
      <c r="U15" s="61"/>
      <c r="V15" s="61"/>
      <c r="W15" s="61"/>
      <c r="X15" s="61"/>
      <c r="Y15" s="61"/>
      <c r="Z15" s="61"/>
      <c r="AA15" s="61"/>
      <c r="AB15" s="61"/>
      <c r="AC15" s="61"/>
      <c r="AD15" s="61"/>
      <c r="AE15" s="61"/>
      <c r="AF15" s="79"/>
      <c r="AG15" s="61"/>
      <c r="AH15" s="61"/>
      <c r="AI15" s="61"/>
      <c r="AJ15" s="61"/>
      <c r="AK15" s="61"/>
      <c r="AL15" s="61"/>
      <c r="AM15" s="61"/>
      <c r="AN15" s="61"/>
      <c r="AO15" s="61"/>
      <c r="AP15" s="61"/>
      <c r="AQ15" s="61"/>
      <c r="AR15" s="61"/>
      <c r="AS15" s="61"/>
      <c r="AT15" s="61"/>
      <c r="AU15" s="61"/>
      <c r="AV15" s="61"/>
      <c r="AW15" s="61"/>
      <c r="AX15" s="118"/>
      <c r="AY15" s="61"/>
      <c r="AZ15" s="61"/>
      <c r="BA15" s="61"/>
      <c r="BB15" s="61"/>
      <c r="BC15" s="61"/>
      <c r="BD15" s="61"/>
      <c r="BE15" s="61"/>
      <c r="BF15" s="61"/>
      <c r="BG15" s="61"/>
      <c r="BH15" s="61"/>
      <c r="BI15" s="61"/>
      <c r="BJ15" s="61"/>
      <c r="BK15" s="61"/>
      <c r="BL15" s="61"/>
      <c r="BM15" s="61"/>
      <c r="BN15" s="80"/>
      <c r="BO15" s="80"/>
      <c r="BP15" s="90"/>
      <c r="BQ15" s="69"/>
      <c r="BR15" s="112"/>
      <c r="BS15" s="61"/>
      <c r="BT15" s="107"/>
      <c r="BU15" s="61"/>
      <c r="BV15" s="107"/>
      <c r="BW15" s="107"/>
      <c r="BX15" s="61"/>
      <c r="BY15" s="61"/>
      <c r="BZ15" s="61"/>
      <c r="CA15" s="61"/>
      <c r="CB15" s="61"/>
      <c r="CC15" s="61"/>
      <c r="CD15" s="61"/>
      <c r="CE15" s="61"/>
      <c r="CF15" s="61"/>
      <c r="CG15" s="61"/>
      <c r="CH15" s="61"/>
      <c r="CI15" s="83"/>
      <c r="CJ15" s="61"/>
      <c r="CK15" s="61"/>
      <c r="CL15" s="61"/>
      <c r="CM15" s="61"/>
      <c r="CN15" s="61"/>
      <c r="CO15" s="61"/>
      <c r="CP15" s="61"/>
      <c r="CQ15" s="61"/>
      <c r="CR15" s="61"/>
      <c r="CS15" s="61"/>
      <c r="CT15" s="61"/>
      <c r="CU15" s="61"/>
      <c r="CV15" s="61"/>
      <c r="CW15" s="61"/>
      <c r="CX15" s="61"/>
      <c r="CY15" s="61"/>
      <c r="CZ15" s="61"/>
      <c r="DA15" s="84"/>
      <c r="DB15" s="61"/>
      <c r="DC15" s="61"/>
      <c r="DD15" s="61"/>
      <c r="DE15" s="61"/>
      <c r="DF15" s="61"/>
      <c r="DG15" s="61"/>
      <c r="DH15" s="61"/>
      <c r="DI15" s="61"/>
      <c r="DJ15" s="61"/>
      <c r="DK15" s="61"/>
      <c r="DL15" s="61"/>
      <c r="DM15" s="61"/>
      <c r="DN15" s="61"/>
      <c r="DO15" s="61"/>
      <c r="DP15" s="61"/>
      <c r="DQ15" s="80"/>
      <c r="DR15" s="80"/>
      <c r="DS15" s="90"/>
      <c r="DT15" s="69"/>
      <c r="DU15" s="61"/>
      <c r="DV15" s="61"/>
      <c r="DW15" s="61"/>
      <c r="DX15" s="61"/>
      <c r="DY15" s="61"/>
      <c r="DZ15" s="61"/>
      <c r="EA15" s="61"/>
      <c r="EB15" s="61"/>
      <c r="EC15" s="61"/>
      <c r="ED15" s="61"/>
      <c r="EE15" s="61"/>
      <c r="EF15" s="61"/>
      <c r="EG15" s="61"/>
      <c r="EH15" s="61"/>
      <c r="EI15" s="61"/>
      <c r="EJ15" s="61"/>
      <c r="EK15" s="61"/>
      <c r="EL15" s="83"/>
      <c r="EM15" s="61"/>
      <c r="EN15" s="61"/>
      <c r="EO15" s="61"/>
      <c r="EP15" s="61"/>
      <c r="EQ15" s="61"/>
      <c r="ER15" s="61"/>
      <c r="ES15" s="61"/>
      <c r="ET15" s="61"/>
      <c r="EU15" s="61"/>
      <c r="EV15" s="61"/>
      <c r="EW15" s="61"/>
      <c r="EX15" s="61"/>
      <c r="EY15" s="61"/>
      <c r="EZ15" s="61"/>
      <c r="FA15" s="61"/>
      <c r="FB15" s="61"/>
      <c r="FC15" s="61"/>
      <c r="FD15" s="84"/>
      <c r="FE15" s="61"/>
      <c r="FF15" s="61"/>
      <c r="FG15" s="61"/>
      <c r="FH15" s="61"/>
      <c r="FI15" s="61"/>
      <c r="FJ15" s="61"/>
      <c r="FK15" s="61"/>
      <c r="FL15" s="61"/>
      <c r="FM15" s="61"/>
      <c r="FN15" s="61"/>
      <c r="FO15" s="61"/>
      <c r="FP15" s="61"/>
      <c r="FQ15" s="61"/>
      <c r="FR15" s="61"/>
      <c r="FS15" s="61"/>
      <c r="FT15" s="80"/>
      <c r="FU15" s="80"/>
      <c r="FV15" s="90"/>
      <c r="FW15" s="69"/>
      <c r="FX15" s="61"/>
      <c r="FY15" s="61"/>
      <c r="FZ15" s="61"/>
      <c r="GA15" s="61"/>
      <c r="GB15" s="61"/>
      <c r="GC15" s="61"/>
      <c r="GD15" s="61"/>
      <c r="GE15" s="61"/>
      <c r="GF15" s="61"/>
      <c r="GG15" s="61"/>
      <c r="GH15" s="61"/>
      <c r="GI15" s="61"/>
      <c r="GJ15" s="61"/>
      <c r="GK15" s="61"/>
      <c r="GL15" s="61"/>
      <c r="GM15" s="61"/>
      <c r="GN15" s="61"/>
      <c r="GO15" s="83"/>
      <c r="GP15" s="61"/>
      <c r="GQ15" s="61"/>
      <c r="GR15" s="61"/>
      <c r="GS15" s="61"/>
      <c r="GT15" s="61"/>
      <c r="GU15" s="61"/>
      <c r="GV15" s="61"/>
      <c r="GW15" s="61"/>
      <c r="GX15" s="61"/>
      <c r="GY15" s="61"/>
      <c r="GZ15" s="61"/>
      <c r="HA15" s="61"/>
      <c r="HB15" s="61"/>
      <c r="HC15" s="61"/>
      <c r="HD15" s="61"/>
      <c r="HE15" s="61"/>
      <c r="HF15" s="61"/>
      <c r="HG15" s="119"/>
      <c r="HH15" s="61"/>
      <c r="HI15" s="61"/>
      <c r="HJ15" s="61"/>
      <c r="HK15" s="61"/>
      <c r="HL15" s="61"/>
      <c r="HM15" s="61"/>
      <c r="HN15" s="61"/>
      <c r="HO15" s="61"/>
      <c r="HP15" s="61"/>
      <c r="HQ15" s="61"/>
      <c r="HR15" s="61"/>
      <c r="HS15" s="61"/>
      <c r="HT15" s="61"/>
      <c r="HU15" s="61"/>
      <c r="HV15" s="61"/>
      <c r="HW15" s="80"/>
      <c r="HX15" s="80"/>
      <c r="HY15" s="82"/>
      <c r="HZ15" s="61"/>
      <c r="IA15" s="61"/>
    </row>
    <row r="16" spans="1:250" s="26" customFormat="1">
      <c r="A16" s="61"/>
      <c r="B16" s="77"/>
      <c r="C16" s="61"/>
      <c r="D16" s="78"/>
      <c r="E16" s="61"/>
      <c r="F16" s="61"/>
      <c r="G16" s="61"/>
      <c r="H16" s="61"/>
      <c r="I16" s="61"/>
      <c r="J16" s="61"/>
      <c r="K16" s="61"/>
      <c r="L16" s="130"/>
      <c r="M16" s="61"/>
      <c r="N16" s="69"/>
      <c r="O16" s="112"/>
      <c r="P16" s="61"/>
      <c r="Q16" s="61"/>
      <c r="R16" s="61"/>
      <c r="S16" s="107"/>
      <c r="T16" s="107"/>
      <c r="U16" s="61"/>
      <c r="V16" s="61"/>
      <c r="W16" s="61"/>
      <c r="X16" s="61"/>
      <c r="Y16" s="61"/>
      <c r="Z16" s="61"/>
      <c r="AA16" s="61"/>
      <c r="AB16" s="61"/>
      <c r="AC16" s="61"/>
      <c r="AD16" s="61"/>
      <c r="AE16" s="61"/>
      <c r="AF16" s="79"/>
      <c r="AG16" s="61"/>
      <c r="AH16" s="61"/>
      <c r="AI16" s="61"/>
      <c r="AJ16" s="61"/>
      <c r="AK16" s="61"/>
      <c r="AL16" s="61"/>
      <c r="AM16" s="61"/>
      <c r="AN16" s="61"/>
      <c r="AO16" s="61"/>
      <c r="AP16" s="61"/>
      <c r="AQ16" s="61"/>
      <c r="AR16" s="61"/>
      <c r="AS16" s="61"/>
      <c r="AT16" s="61"/>
      <c r="AU16" s="61"/>
      <c r="AV16" s="61"/>
      <c r="AW16" s="61"/>
      <c r="AX16" s="118"/>
      <c r="AY16" s="61"/>
      <c r="AZ16" s="61"/>
      <c r="BA16" s="61"/>
      <c r="BB16" s="61"/>
      <c r="BC16" s="61"/>
      <c r="BD16" s="61"/>
      <c r="BE16" s="61"/>
      <c r="BF16" s="61"/>
      <c r="BG16" s="61"/>
      <c r="BH16" s="61"/>
      <c r="BI16" s="61"/>
      <c r="BJ16" s="61"/>
      <c r="BK16" s="61"/>
      <c r="BL16" s="61"/>
      <c r="BM16" s="61"/>
      <c r="BN16" s="80"/>
      <c r="BO16" s="80"/>
      <c r="BP16" s="82"/>
      <c r="BQ16" s="69"/>
      <c r="BR16" s="61"/>
      <c r="BS16" s="61"/>
      <c r="BT16" s="61"/>
      <c r="BU16" s="61"/>
      <c r="BV16" s="61"/>
      <c r="BW16" s="61"/>
      <c r="BX16" s="61"/>
      <c r="BY16" s="61"/>
      <c r="BZ16" s="61"/>
      <c r="CA16" s="61"/>
      <c r="CB16" s="61"/>
      <c r="CC16" s="61"/>
      <c r="CD16" s="61"/>
      <c r="CE16" s="61"/>
      <c r="CF16" s="61"/>
      <c r="CG16" s="61"/>
      <c r="CH16" s="61"/>
      <c r="CI16" s="83"/>
      <c r="CJ16" s="61"/>
      <c r="CK16" s="61"/>
      <c r="CL16" s="61"/>
      <c r="CM16" s="61"/>
      <c r="CN16" s="61"/>
      <c r="CO16" s="61"/>
      <c r="CP16" s="61"/>
      <c r="CQ16" s="61"/>
      <c r="CR16" s="61"/>
      <c r="CS16" s="61"/>
      <c r="CT16" s="61"/>
      <c r="CU16" s="61"/>
      <c r="CV16" s="61"/>
      <c r="CW16" s="61"/>
      <c r="CX16" s="61"/>
      <c r="CY16" s="61"/>
      <c r="CZ16" s="61"/>
      <c r="DA16" s="84"/>
      <c r="DB16" s="61"/>
      <c r="DC16" s="61"/>
      <c r="DD16" s="61"/>
      <c r="DE16" s="61"/>
      <c r="DF16" s="61"/>
      <c r="DG16" s="61"/>
      <c r="DH16" s="61"/>
      <c r="DI16" s="61"/>
      <c r="DJ16" s="61"/>
      <c r="DK16" s="61"/>
      <c r="DL16" s="61"/>
      <c r="DM16" s="61"/>
      <c r="DN16" s="61"/>
      <c r="DO16" s="61"/>
      <c r="DP16" s="61"/>
      <c r="DQ16" s="80"/>
      <c r="DR16" s="80"/>
      <c r="DS16" s="90"/>
      <c r="DT16" s="69"/>
      <c r="DU16" s="61"/>
      <c r="DV16" s="61"/>
      <c r="DW16" s="61"/>
      <c r="DX16" s="61"/>
      <c r="DY16" s="61"/>
      <c r="DZ16" s="61"/>
      <c r="EA16" s="61"/>
      <c r="EB16" s="61"/>
      <c r="EC16" s="61"/>
      <c r="ED16" s="61"/>
      <c r="EE16" s="61"/>
      <c r="EF16" s="61"/>
      <c r="EG16" s="61"/>
      <c r="EH16" s="61"/>
      <c r="EI16" s="61"/>
      <c r="EJ16" s="61"/>
      <c r="EK16" s="61"/>
      <c r="EL16" s="83"/>
      <c r="EM16" s="61"/>
      <c r="EN16" s="61"/>
      <c r="EO16" s="61"/>
      <c r="EP16" s="61"/>
      <c r="EQ16" s="61"/>
      <c r="ER16" s="61"/>
      <c r="ES16" s="61"/>
      <c r="ET16" s="61"/>
      <c r="EU16" s="61"/>
      <c r="EV16" s="61"/>
      <c r="EW16" s="61"/>
      <c r="EX16" s="61"/>
      <c r="EY16" s="61"/>
      <c r="EZ16" s="61"/>
      <c r="FA16" s="61"/>
      <c r="FB16" s="61"/>
      <c r="FC16" s="61"/>
      <c r="FD16" s="84"/>
      <c r="FE16" s="61"/>
      <c r="FF16" s="61"/>
      <c r="FG16" s="61"/>
      <c r="FH16" s="61"/>
      <c r="FI16" s="61"/>
      <c r="FJ16" s="61"/>
      <c r="FK16" s="61"/>
      <c r="FL16" s="61"/>
      <c r="FM16" s="61"/>
      <c r="FN16" s="61"/>
      <c r="FO16" s="61"/>
      <c r="FP16" s="61"/>
      <c r="FQ16" s="61"/>
      <c r="FR16" s="61"/>
      <c r="FS16" s="61"/>
      <c r="FT16" s="80"/>
      <c r="FU16" s="80"/>
      <c r="FV16" s="90"/>
      <c r="FW16" s="69"/>
      <c r="FX16" s="61"/>
      <c r="FY16" s="61"/>
      <c r="FZ16" s="61"/>
      <c r="GA16" s="61"/>
      <c r="GB16" s="61"/>
      <c r="GC16" s="61"/>
      <c r="GD16" s="61"/>
      <c r="GE16" s="61"/>
      <c r="GF16" s="61"/>
      <c r="GG16" s="61"/>
      <c r="GH16" s="61"/>
      <c r="GI16" s="61"/>
      <c r="GJ16" s="61"/>
      <c r="GK16" s="61"/>
      <c r="GL16" s="61"/>
      <c r="GM16" s="61"/>
      <c r="GN16" s="61"/>
      <c r="GO16" s="83"/>
      <c r="GP16" s="61"/>
      <c r="GQ16" s="61"/>
      <c r="GR16" s="61"/>
      <c r="GS16" s="61"/>
      <c r="GT16" s="61"/>
      <c r="GU16" s="61"/>
      <c r="GV16" s="61"/>
      <c r="GW16" s="61"/>
      <c r="GX16" s="61"/>
      <c r="GY16" s="61"/>
      <c r="GZ16" s="61"/>
      <c r="HA16" s="61"/>
      <c r="HB16" s="61"/>
      <c r="HC16" s="61"/>
      <c r="HD16" s="61"/>
      <c r="HE16" s="61"/>
      <c r="HF16" s="61"/>
      <c r="HG16" s="119"/>
      <c r="HH16" s="61"/>
      <c r="HI16" s="61"/>
      <c r="HJ16" s="61"/>
      <c r="HK16" s="61"/>
      <c r="HL16" s="61"/>
      <c r="HM16" s="61"/>
      <c r="HN16" s="61"/>
      <c r="HO16" s="61"/>
      <c r="HP16" s="61"/>
      <c r="HQ16" s="61"/>
      <c r="HR16" s="61"/>
      <c r="HS16" s="61"/>
      <c r="HT16" s="61"/>
      <c r="HU16" s="61"/>
      <c r="HV16" s="61"/>
      <c r="HW16" s="80"/>
      <c r="HX16" s="80"/>
      <c r="HY16" s="82"/>
      <c r="HZ16" s="61"/>
      <c r="IA16" s="61"/>
    </row>
    <row r="17" spans="1:235" s="26" customFormat="1">
      <c r="A17" s="61"/>
      <c r="B17" s="69"/>
      <c r="C17" s="107"/>
      <c r="D17" s="78"/>
      <c r="E17" s="61"/>
      <c r="F17" s="61"/>
      <c r="G17" s="61"/>
      <c r="H17" s="107"/>
      <c r="I17" s="61"/>
      <c r="J17" s="61"/>
      <c r="K17" s="107"/>
      <c r="L17" s="130"/>
      <c r="M17" s="61"/>
      <c r="N17" s="69"/>
      <c r="O17" s="112"/>
      <c r="P17" s="28"/>
      <c r="Q17" s="28"/>
      <c r="R17" s="61"/>
      <c r="S17" s="107"/>
      <c r="T17" s="107"/>
      <c r="U17" s="61"/>
      <c r="V17" s="61"/>
      <c r="W17" s="61"/>
      <c r="X17" s="61"/>
      <c r="Y17" s="61"/>
      <c r="Z17" s="61"/>
      <c r="AA17" s="61"/>
      <c r="AB17" s="61"/>
      <c r="AC17" s="61"/>
      <c r="AD17" s="61"/>
      <c r="AE17" s="61"/>
      <c r="AF17" s="79"/>
      <c r="AG17" s="61"/>
      <c r="AH17" s="61"/>
      <c r="AI17" s="61"/>
      <c r="AJ17" s="61"/>
      <c r="AK17" s="61"/>
      <c r="AL17" s="61"/>
      <c r="AM17" s="61"/>
      <c r="AN17" s="61"/>
      <c r="AO17" s="61"/>
      <c r="AP17" s="61"/>
      <c r="AQ17" s="61"/>
      <c r="AR17" s="61"/>
      <c r="AS17" s="61"/>
      <c r="AT17" s="61"/>
      <c r="AU17" s="61"/>
      <c r="AV17" s="61"/>
      <c r="AW17" s="61"/>
      <c r="AX17" s="118"/>
      <c r="AY17" s="61"/>
      <c r="AZ17" s="61"/>
      <c r="BA17" s="61"/>
      <c r="BB17" s="61"/>
      <c r="BC17" s="61"/>
      <c r="BD17" s="61"/>
      <c r="BE17" s="61"/>
      <c r="BF17" s="61"/>
      <c r="BG17" s="61"/>
      <c r="BH17" s="61"/>
      <c r="BI17" s="61"/>
      <c r="BJ17" s="61"/>
      <c r="BK17" s="61"/>
      <c r="BL17" s="61"/>
      <c r="BM17" s="61"/>
      <c r="BN17" s="80"/>
      <c r="BO17" s="80"/>
      <c r="BP17" s="90"/>
      <c r="BQ17" s="69"/>
      <c r="BR17" s="112"/>
      <c r="BS17" s="28"/>
      <c r="BT17" s="107"/>
      <c r="BU17" s="61"/>
      <c r="BV17" s="107"/>
      <c r="BW17" s="107"/>
      <c r="BX17" s="61"/>
      <c r="BY17" s="61"/>
      <c r="BZ17" s="61"/>
      <c r="CA17" s="61"/>
      <c r="CB17" s="61"/>
      <c r="CC17" s="61"/>
      <c r="CD17" s="61"/>
      <c r="CE17" s="61"/>
      <c r="CF17" s="61"/>
      <c r="CG17" s="61"/>
      <c r="CH17" s="61"/>
      <c r="CI17" s="83"/>
      <c r="CJ17" s="61"/>
      <c r="CK17" s="61"/>
      <c r="CL17" s="61"/>
      <c r="CM17" s="61"/>
      <c r="CN17" s="61"/>
      <c r="CO17" s="61"/>
      <c r="CP17" s="61"/>
      <c r="CQ17" s="61"/>
      <c r="CR17" s="61"/>
      <c r="CS17" s="61"/>
      <c r="CT17" s="61"/>
      <c r="CU17" s="61"/>
      <c r="CV17" s="61"/>
      <c r="CW17" s="61"/>
      <c r="CX17" s="61"/>
      <c r="CY17" s="61"/>
      <c r="CZ17" s="61"/>
      <c r="DA17" s="84"/>
      <c r="DB17" s="61"/>
      <c r="DC17" s="61"/>
      <c r="DD17" s="61"/>
      <c r="DE17" s="61"/>
      <c r="DF17" s="61"/>
      <c r="DG17" s="61"/>
      <c r="DH17" s="61"/>
      <c r="DI17" s="61"/>
      <c r="DJ17" s="61"/>
      <c r="DK17" s="61"/>
      <c r="DL17" s="61"/>
      <c r="DM17" s="61"/>
      <c r="DN17" s="61"/>
      <c r="DO17" s="61"/>
      <c r="DP17" s="61"/>
      <c r="DQ17" s="80"/>
      <c r="DR17" s="80"/>
      <c r="DS17" s="90"/>
      <c r="DT17" s="69"/>
      <c r="DU17" s="112"/>
      <c r="DV17" s="54"/>
      <c r="DW17" s="54"/>
      <c r="DX17" s="61"/>
      <c r="DY17" s="54"/>
      <c r="DZ17" s="54"/>
      <c r="EA17" s="61"/>
      <c r="EB17" s="61"/>
      <c r="EC17" s="61"/>
      <c r="ED17" s="61"/>
      <c r="EE17" s="61"/>
      <c r="EF17" s="61"/>
      <c r="EG17" s="61"/>
      <c r="EH17" s="61"/>
      <c r="EI17" s="61"/>
      <c r="EJ17" s="61"/>
      <c r="EK17" s="61"/>
      <c r="EL17" s="83"/>
      <c r="EM17" s="61"/>
      <c r="EN17" s="61"/>
      <c r="EO17" s="61"/>
      <c r="EP17" s="61"/>
      <c r="EQ17" s="61"/>
      <c r="ER17" s="61"/>
      <c r="ES17" s="61"/>
      <c r="ET17" s="61"/>
      <c r="EU17" s="61"/>
      <c r="EV17" s="61"/>
      <c r="EW17" s="61"/>
      <c r="EX17" s="61"/>
      <c r="EY17" s="61"/>
      <c r="EZ17" s="61"/>
      <c r="FA17" s="61"/>
      <c r="FB17" s="61"/>
      <c r="FC17" s="61"/>
      <c r="FD17" s="84"/>
      <c r="FE17" s="61"/>
      <c r="FF17" s="61"/>
      <c r="FG17" s="61"/>
      <c r="FH17" s="61"/>
      <c r="FI17" s="61"/>
      <c r="FJ17" s="61"/>
      <c r="FK17" s="61"/>
      <c r="FL17" s="61"/>
      <c r="FM17" s="61"/>
      <c r="FN17" s="61"/>
      <c r="FO17" s="61"/>
      <c r="FP17" s="61"/>
      <c r="FQ17" s="61"/>
      <c r="FR17" s="61"/>
      <c r="FS17" s="61"/>
      <c r="FT17" s="80"/>
      <c r="FU17" s="80"/>
      <c r="FV17" s="90"/>
      <c r="FW17" s="69"/>
      <c r="FX17" s="61"/>
      <c r="FY17" s="61"/>
      <c r="FZ17" s="61"/>
      <c r="GA17" s="61"/>
      <c r="GB17" s="61"/>
      <c r="GC17" s="61"/>
      <c r="GD17" s="61"/>
      <c r="GE17" s="61"/>
      <c r="GF17" s="61"/>
      <c r="GG17" s="61"/>
      <c r="GH17" s="61"/>
      <c r="GI17" s="61"/>
      <c r="GJ17" s="61"/>
      <c r="GK17" s="61"/>
      <c r="GL17" s="61"/>
      <c r="GM17" s="61"/>
      <c r="GN17" s="61"/>
      <c r="GO17" s="83"/>
      <c r="GP17" s="61"/>
      <c r="GQ17" s="61"/>
      <c r="GR17" s="61"/>
      <c r="GS17" s="61"/>
      <c r="GT17" s="61"/>
      <c r="GU17" s="61"/>
      <c r="GV17" s="61"/>
      <c r="GW17" s="61"/>
      <c r="GX17" s="61"/>
      <c r="GY17" s="61"/>
      <c r="GZ17" s="61"/>
      <c r="HA17" s="61"/>
      <c r="HB17" s="61"/>
      <c r="HC17" s="61"/>
      <c r="HD17" s="61"/>
      <c r="HE17" s="61"/>
      <c r="HF17" s="61"/>
      <c r="HG17" s="119"/>
      <c r="HH17" s="61"/>
      <c r="HI17" s="61"/>
      <c r="HJ17" s="61"/>
      <c r="HK17" s="61"/>
      <c r="HL17" s="61"/>
      <c r="HM17" s="61"/>
      <c r="HN17" s="61"/>
      <c r="HO17" s="61"/>
      <c r="HP17" s="61"/>
      <c r="HQ17" s="61"/>
      <c r="HR17" s="61"/>
      <c r="HS17" s="61"/>
      <c r="HT17" s="61"/>
      <c r="HU17" s="61"/>
      <c r="HV17" s="61"/>
      <c r="HW17" s="80"/>
      <c r="HX17" s="80"/>
      <c r="HY17" s="82"/>
      <c r="HZ17" s="61"/>
      <c r="IA17" s="61"/>
    </row>
    <row r="18" spans="1:235" s="26" customFormat="1">
      <c r="A18" s="61"/>
      <c r="B18" s="77"/>
      <c r="C18" s="107"/>
      <c r="D18" s="78"/>
      <c r="E18" s="61"/>
      <c r="F18" s="61"/>
      <c r="G18" s="61"/>
      <c r="H18" s="61"/>
      <c r="I18" s="61"/>
      <c r="J18" s="107"/>
      <c r="K18" s="107"/>
      <c r="L18" s="78"/>
      <c r="M18" s="107"/>
      <c r="N18" s="69"/>
      <c r="O18" s="112"/>
      <c r="P18" s="28"/>
      <c r="Q18" s="28"/>
      <c r="R18" s="61"/>
      <c r="S18" s="107"/>
      <c r="T18" s="107"/>
      <c r="U18" s="61"/>
      <c r="V18" s="61"/>
      <c r="W18" s="61"/>
      <c r="X18" s="61"/>
      <c r="Y18" s="61"/>
      <c r="Z18" s="61"/>
      <c r="AA18" s="61"/>
      <c r="AB18" s="61"/>
      <c r="AC18" s="61"/>
      <c r="AD18" s="61"/>
      <c r="AE18" s="61"/>
      <c r="AF18" s="79"/>
      <c r="AG18" s="61"/>
      <c r="AH18" s="61"/>
      <c r="AI18" s="61"/>
      <c r="AJ18" s="61"/>
      <c r="AK18" s="61"/>
      <c r="AL18" s="61"/>
      <c r="AM18" s="61"/>
      <c r="AN18" s="61"/>
      <c r="AO18" s="61"/>
      <c r="AP18" s="61"/>
      <c r="AQ18" s="61"/>
      <c r="AR18" s="61"/>
      <c r="AS18" s="61"/>
      <c r="AT18" s="61"/>
      <c r="AU18" s="61"/>
      <c r="AV18" s="61"/>
      <c r="AW18" s="61"/>
      <c r="AX18" s="118"/>
      <c r="AY18" s="61"/>
      <c r="AZ18" s="61"/>
      <c r="BA18" s="61"/>
      <c r="BB18" s="61"/>
      <c r="BC18" s="61"/>
      <c r="BD18" s="61"/>
      <c r="BE18" s="61"/>
      <c r="BF18" s="61"/>
      <c r="BG18" s="61"/>
      <c r="BH18" s="61"/>
      <c r="BI18" s="61"/>
      <c r="BJ18" s="61"/>
      <c r="BK18" s="61"/>
      <c r="BL18" s="61"/>
      <c r="BM18" s="61"/>
      <c r="BN18" s="80"/>
      <c r="BO18" s="80"/>
      <c r="BP18" s="82"/>
      <c r="BQ18" s="69"/>
      <c r="BR18" s="112"/>
      <c r="BS18" s="28"/>
      <c r="BT18" s="107"/>
      <c r="BU18" s="107"/>
      <c r="BV18" s="54"/>
      <c r="BW18" s="54"/>
      <c r="BX18" s="61"/>
      <c r="BY18" s="61"/>
      <c r="BZ18" s="61"/>
      <c r="CA18" s="61"/>
      <c r="CB18" s="61"/>
      <c r="CC18" s="61"/>
      <c r="CD18" s="61"/>
      <c r="CE18" s="61"/>
      <c r="CF18" s="61"/>
      <c r="CG18" s="61"/>
      <c r="CH18" s="61"/>
      <c r="CI18" s="83"/>
      <c r="CJ18" s="61"/>
      <c r="CK18" s="61"/>
      <c r="CL18" s="61"/>
      <c r="CM18" s="61"/>
      <c r="CN18" s="61"/>
      <c r="CO18" s="61"/>
      <c r="CP18" s="61"/>
      <c r="CQ18" s="61"/>
      <c r="CR18" s="61"/>
      <c r="CS18" s="61"/>
      <c r="CT18" s="61"/>
      <c r="CU18" s="61"/>
      <c r="CV18" s="61"/>
      <c r="CW18" s="61"/>
      <c r="CX18" s="61"/>
      <c r="CY18" s="61"/>
      <c r="CZ18" s="61"/>
      <c r="DA18" s="84"/>
      <c r="DB18" s="61"/>
      <c r="DC18" s="61"/>
      <c r="DD18" s="61"/>
      <c r="DE18" s="61"/>
      <c r="DF18" s="61"/>
      <c r="DG18" s="61"/>
      <c r="DH18" s="61"/>
      <c r="DI18" s="61"/>
      <c r="DJ18" s="61"/>
      <c r="DK18" s="61"/>
      <c r="DL18" s="61"/>
      <c r="DM18" s="61"/>
      <c r="DN18" s="61"/>
      <c r="DO18" s="61"/>
      <c r="DP18" s="61"/>
      <c r="DQ18" s="80"/>
      <c r="DR18" s="80"/>
      <c r="DS18" s="90"/>
      <c r="DT18" s="69"/>
      <c r="DU18" s="112"/>
      <c r="DV18" s="28"/>
      <c r="DW18" s="28"/>
      <c r="DX18" s="107"/>
      <c r="DY18" s="107"/>
      <c r="DZ18" s="107"/>
      <c r="EA18" s="61"/>
      <c r="EB18" s="61"/>
      <c r="EC18" s="61"/>
      <c r="ED18" s="61"/>
      <c r="EE18" s="61"/>
      <c r="EF18" s="61"/>
      <c r="EG18" s="61"/>
      <c r="EH18" s="61"/>
      <c r="EI18" s="61"/>
      <c r="EJ18" s="61"/>
      <c r="EK18" s="61"/>
      <c r="EL18" s="83"/>
      <c r="EM18" s="61"/>
      <c r="EN18" s="61"/>
      <c r="EO18" s="61"/>
      <c r="EP18" s="61"/>
      <c r="EQ18" s="61"/>
      <c r="ER18" s="61"/>
      <c r="ES18" s="61"/>
      <c r="ET18" s="61"/>
      <c r="EU18" s="61"/>
      <c r="EV18" s="61"/>
      <c r="EW18" s="61"/>
      <c r="EX18" s="61"/>
      <c r="EY18" s="61"/>
      <c r="EZ18" s="61"/>
      <c r="FA18" s="61"/>
      <c r="FB18" s="61"/>
      <c r="FC18" s="61"/>
      <c r="FD18" s="84"/>
      <c r="FE18" s="61"/>
      <c r="FF18" s="61"/>
      <c r="FG18" s="61"/>
      <c r="FH18" s="61"/>
      <c r="FI18" s="61"/>
      <c r="FJ18" s="61"/>
      <c r="FK18" s="61"/>
      <c r="FL18" s="61"/>
      <c r="FM18" s="61"/>
      <c r="FN18" s="61"/>
      <c r="FO18" s="61"/>
      <c r="FP18" s="61"/>
      <c r="FQ18" s="61"/>
      <c r="FR18" s="61"/>
      <c r="FS18" s="61"/>
      <c r="FT18" s="80"/>
      <c r="FU18" s="80"/>
      <c r="FV18" s="90"/>
      <c r="FW18" s="69"/>
      <c r="FX18" s="61"/>
      <c r="FY18" s="61"/>
      <c r="FZ18" s="61"/>
      <c r="GA18" s="61"/>
      <c r="GB18" s="61"/>
      <c r="GC18" s="61"/>
      <c r="GD18" s="61"/>
      <c r="GE18" s="61"/>
      <c r="GF18" s="61"/>
      <c r="GG18" s="61"/>
      <c r="GH18" s="61"/>
      <c r="GI18" s="61"/>
      <c r="GJ18" s="61"/>
      <c r="GK18" s="61"/>
      <c r="GL18" s="61"/>
      <c r="GM18" s="61"/>
      <c r="GN18" s="61"/>
      <c r="GO18" s="83"/>
      <c r="GP18" s="61"/>
      <c r="GQ18" s="61"/>
      <c r="GR18" s="61"/>
      <c r="GS18" s="61"/>
      <c r="GT18" s="61"/>
      <c r="GU18" s="61"/>
      <c r="GV18" s="61"/>
      <c r="GW18" s="61"/>
      <c r="GX18" s="61"/>
      <c r="GY18" s="61"/>
      <c r="GZ18" s="61"/>
      <c r="HA18" s="61"/>
      <c r="HB18" s="61"/>
      <c r="HC18" s="61"/>
      <c r="HD18" s="61"/>
      <c r="HE18" s="61"/>
      <c r="HF18" s="61"/>
      <c r="HG18" s="119"/>
      <c r="HH18" s="61"/>
      <c r="HI18" s="61"/>
      <c r="HJ18" s="61"/>
      <c r="HK18" s="61"/>
      <c r="HL18" s="61"/>
      <c r="HM18" s="61"/>
      <c r="HN18" s="61"/>
      <c r="HO18" s="61"/>
      <c r="HP18" s="61"/>
      <c r="HQ18" s="61"/>
      <c r="HR18" s="61"/>
      <c r="HS18" s="61"/>
      <c r="HT18" s="61"/>
      <c r="HU18" s="61"/>
      <c r="HV18" s="61"/>
      <c r="HW18" s="80"/>
      <c r="HX18" s="80"/>
      <c r="HY18" s="82"/>
      <c r="HZ18" s="61"/>
      <c r="IA18" s="61"/>
    </row>
    <row r="19" spans="1:235" s="26" customFormat="1">
      <c r="A19" s="61"/>
      <c r="B19" s="69"/>
      <c r="C19" s="54"/>
      <c r="D19" s="78"/>
      <c r="E19" s="61"/>
      <c r="F19" s="61"/>
      <c r="G19" s="61"/>
      <c r="H19" s="61"/>
      <c r="I19" s="61"/>
      <c r="J19" s="61"/>
      <c r="K19" s="107"/>
      <c r="L19" s="78"/>
      <c r="M19" s="107"/>
      <c r="N19" s="69"/>
      <c r="O19" s="112"/>
      <c r="P19" s="28"/>
      <c r="Q19" s="28"/>
      <c r="R19" s="61"/>
      <c r="S19" s="107"/>
      <c r="T19" s="107"/>
      <c r="U19" s="61"/>
      <c r="V19" s="61"/>
      <c r="W19" s="61"/>
      <c r="X19" s="61"/>
      <c r="Y19" s="61"/>
      <c r="Z19" s="61"/>
      <c r="AA19" s="61"/>
      <c r="AB19" s="61"/>
      <c r="AC19" s="61"/>
      <c r="AD19" s="61"/>
      <c r="AE19" s="61"/>
      <c r="AF19" s="79"/>
      <c r="AG19" s="61"/>
      <c r="AH19" s="61"/>
      <c r="AI19" s="61"/>
      <c r="AJ19" s="61"/>
      <c r="AK19" s="61"/>
      <c r="AL19" s="61"/>
      <c r="AM19" s="61"/>
      <c r="AN19" s="61"/>
      <c r="AO19" s="61"/>
      <c r="AP19" s="61"/>
      <c r="AQ19" s="61"/>
      <c r="AR19" s="61"/>
      <c r="AS19" s="61"/>
      <c r="AT19" s="61"/>
      <c r="AU19" s="61"/>
      <c r="AV19" s="61"/>
      <c r="AW19" s="61"/>
      <c r="AX19" s="118"/>
      <c r="AY19" s="61"/>
      <c r="AZ19" s="61"/>
      <c r="BA19" s="61"/>
      <c r="BB19" s="61"/>
      <c r="BC19" s="61"/>
      <c r="BD19" s="61"/>
      <c r="BE19" s="61"/>
      <c r="BF19" s="61"/>
      <c r="BG19" s="61"/>
      <c r="BH19" s="61"/>
      <c r="BI19" s="61"/>
      <c r="BJ19" s="61"/>
      <c r="BK19" s="61"/>
      <c r="BL19" s="61"/>
      <c r="BM19" s="61"/>
      <c r="BN19" s="80"/>
      <c r="BO19" s="80"/>
      <c r="BP19" s="90"/>
      <c r="BQ19" s="69"/>
      <c r="BR19" s="112"/>
      <c r="BS19" s="28"/>
      <c r="BT19" s="107"/>
      <c r="BU19" s="61"/>
      <c r="BV19" s="107"/>
      <c r="BW19" s="107"/>
      <c r="BX19" s="61"/>
      <c r="BY19" s="61"/>
      <c r="BZ19" s="61"/>
      <c r="CA19" s="61"/>
      <c r="CB19" s="61"/>
      <c r="CC19" s="61"/>
      <c r="CD19" s="61"/>
      <c r="CE19" s="61"/>
      <c r="CF19" s="61"/>
      <c r="CG19" s="61"/>
      <c r="CH19" s="61"/>
      <c r="CI19" s="83"/>
      <c r="CJ19" s="61"/>
      <c r="CK19" s="61"/>
      <c r="CL19" s="61"/>
      <c r="CM19" s="61"/>
      <c r="CN19" s="61"/>
      <c r="CO19" s="61"/>
      <c r="CP19" s="61"/>
      <c r="CQ19" s="61"/>
      <c r="CR19" s="61"/>
      <c r="CS19" s="61"/>
      <c r="CT19" s="61"/>
      <c r="CU19" s="61"/>
      <c r="CV19" s="61"/>
      <c r="CW19" s="61"/>
      <c r="CX19" s="61"/>
      <c r="CY19" s="61"/>
      <c r="CZ19" s="61"/>
      <c r="DA19" s="84"/>
      <c r="DB19" s="61"/>
      <c r="DC19" s="61"/>
      <c r="DD19" s="61"/>
      <c r="DE19" s="61"/>
      <c r="DF19" s="61"/>
      <c r="DG19" s="61"/>
      <c r="DH19" s="61"/>
      <c r="DI19" s="61"/>
      <c r="DJ19" s="61"/>
      <c r="DK19" s="61"/>
      <c r="DL19" s="61"/>
      <c r="DM19" s="61"/>
      <c r="DN19" s="61"/>
      <c r="DO19" s="61"/>
      <c r="DP19" s="61"/>
      <c r="DQ19" s="80"/>
      <c r="DR19" s="80"/>
      <c r="DS19" s="90"/>
      <c r="DT19" s="69"/>
      <c r="DU19" s="61"/>
      <c r="DV19" s="55"/>
      <c r="DW19" s="61"/>
      <c r="DX19" s="61"/>
      <c r="DY19" s="61"/>
      <c r="DZ19" s="61"/>
      <c r="EA19" s="61"/>
      <c r="EB19" s="61"/>
      <c r="EC19" s="61"/>
      <c r="ED19" s="61"/>
      <c r="EE19" s="61"/>
      <c r="EF19" s="61"/>
      <c r="EG19" s="61"/>
      <c r="EH19" s="61"/>
      <c r="EI19" s="61"/>
      <c r="EJ19" s="61"/>
      <c r="EK19" s="61"/>
      <c r="EL19" s="83"/>
      <c r="EM19" s="61"/>
      <c r="EN19" s="61"/>
      <c r="EO19" s="61"/>
      <c r="EP19" s="61"/>
      <c r="EQ19" s="61"/>
      <c r="ER19" s="61"/>
      <c r="ES19" s="61"/>
      <c r="ET19" s="61"/>
      <c r="EU19" s="61"/>
      <c r="EV19" s="61"/>
      <c r="EW19" s="61"/>
      <c r="EX19" s="61"/>
      <c r="EY19" s="61"/>
      <c r="EZ19" s="61"/>
      <c r="FA19" s="61"/>
      <c r="FB19" s="61"/>
      <c r="FC19" s="61"/>
      <c r="FD19" s="84"/>
      <c r="FE19" s="61"/>
      <c r="FF19" s="61"/>
      <c r="FG19" s="61"/>
      <c r="FH19" s="61"/>
      <c r="FI19" s="61"/>
      <c r="FJ19" s="61"/>
      <c r="FK19" s="61"/>
      <c r="FL19" s="61"/>
      <c r="FM19" s="61"/>
      <c r="FN19" s="61"/>
      <c r="FO19" s="61"/>
      <c r="FP19" s="61"/>
      <c r="FQ19" s="61"/>
      <c r="FR19" s="61"/>
      <c r="FS19" s="61"/>
      <c r="FT19" s="80"/>
      <c r="FU19" s="80"/>
      <c r="FV19" s="90"/>
      <c r="FW19" s="69"/>
      <c r="FX19" s="112"/>
      <c r="FY19" s="28"/>
      <c r="FZ19" s="28"/>
      <c r="GA19" s="61"/>
      <c r="GB19" s="107"/>
      <c r="GC19" s="107"/>
      <c r="GD19" s="61"/>
      <c r="GE19" s="61"/>
      <c r="GF19" s="61"/>
      <c r="GG19" s="61"/>
      <c r="GH19" s="61"/>
      <c r="GI19" s="61"/>
      <c r="GJ19" s="61"/>
      <c r="GK19" s="61"/>
      <c r="GL19" s="61"/>
      <c r="GM19" s="61"/>
      <c r="GN19" s="61"/>
      <c r="GO19" s="83"/>
      <c r="GP19" s="61"/>
      <c r="GQ19" s="61"/>
      <c r="GR19" s="61"/>
      <c r="GS19" s="61"/>
      <c r="GT19" s="61"/>
      <c r="GU19" s="61"/>
      <c r="GV19" s="61"/>
      <c r="GW19" s="61"/>
      <c r="GX19" s="61"/>
      <c r="GY19" s="61"/>
      <c r="GZ19" s="61"/>
      <c r="HA19" s="61"/>
      <c r="HB19" s="61"/>
      <c r="HC19" s="61"/>
      <c r="HD19" s="61"/>
      <c r="HE19" s="61"/>
      <c r="HF19" s="61"/>
      <c r="HG19" s="119"/>
      <c r="HH19" s="61"/>
      <c r="HI19" s="61"/>
      <c r="HJ19" s="61"/>
      <c r="HK19" s="61"/>
      <c r="HL19" s="61"/>
      <c r="HM19" s="61"/>
      <c r="HN19" s="61"/>
      <c r="HO19" s="61"/>
      <c r="HP19" s="61"/>
      <c r="HQ19" s="61"/>
      <c r="HR19" s="61"/>
      <c r="HS19" s="61"/>
      <c r="HT19" s="61"/>
      <c r="HU19" s="61"/>
      <c r="HV19" s="61"/>
      <c r="HW19" s="80"/>
      <c r="HX19" s="80"/>
      <c r="HY19" s="82"/>
      <c r="HZ19" s="61"/>
      <c r="IA19" s="61"/>
    </row>
    <row r="20" spans="1:235" s="26" customFormat="1">
      <c r="A20" s="61"/>
      <c r="B20" s="69"/>
      <c r="C20" s="28"/>
      <c r="D20" s="78"/>
      <c r="E20" s="61"/>
      <c r="F20" s="61"/>
      <c r="G20" s="61"/>
      <c r="H20" s="61"/>
      <c r="I20" s="61"/>
      <c r="J20" s="61"/>
      <c r="K20" s="61"/>
      <c r="L20" s="129"/>
      <c r="M20" s="54"/>
      <c r="N20" s="69"/>
      <c r="O20" s="112"/>
      <c r="P20" s="54"/>
      <c r="Q20" s="28"/>
      <c r="R20" s="61"/>
      <c r="S20" s="107"/>
      <c r="T20" s="107"/>
      <c r="U20" s="61"/>
      <c r="V20" s="61"/>
      <c r="W20" s="61"/>
      <c r="X20" s="61"/>
      <c r="Y20" s="61"/>
      <c r="Z20" s="61"/>
      <c r="AA20" s="61"/>
      <c r="AB20" s="61"/>
      <c r="AC20" s="61"/>
      <c r="AD20" s="61"/>
      <c r="AE20" s="61"/>
      <c r="AF20" s="79"/>
      <c r="AG20" s="61"/>
      <c r="AH20" s="61"/>
      <c r="AI20" s="61"/>
      <c r="AJ20" s="61"/>
      <c r="AK20" s="61"/>
      <c r="AL20" s="61"/>
      <c r="AM20" s="61"/>
      <c r="AN20" s="61"/>
      <c r="AO20" s="61"/>
      <c r="AP20" s="61"/>
      <c r="AQ20" s="61"/>
      <c r="AR20" s="61"/>
      <c r="AS20" s="61"/>
      <c r="AT20" s="61"/>
      <c r="AU20" s="61"/>
      <c r="AV20" s="61"/>
      <c r="AW20" s="61"/>
      <c r="AX20" s="118"/>
      <c r="AY20" s="61"/>
      <c r="AZ20" s="61"/>
      <c r="BA20" s="61"/>
      <c r="BB20" s="61"/>
      <c r="BC20" s="61"/>
      <c r="BD20" s="61"/>
      <c r="BE20" s="61"/>
      <c r="BF20" s="61"/>
      <c r="BG20" s="61"/>
      <c r="BH20" s="61"/>
      <c r="BI20" s="61"/>
      <c r="BJ20" s="61"/>
      <c r="BK20" s="61"/>
      <c r="BL20" s="61"/>
      <c r="BM20" s="61"/>
      <c r="BN20" s="80"/>
      <c r="BO20" s="80"/>
      <c r="BP20" s="82"/>
      <c r="BQ20" s="69"/>
      <c r="BR20" s="112"/>
      <c r="BS20" s="28"/>
      <c r="BT20" s="107"/>
      <c r="BU20" s="61"/>
      <c r="BV20" s="107"/>
      <c r="BW20" s="107"/>
      <c r="BX20" s="61"/>
      <c r="BY20" s="61"/>
      <c r="BZ20" s="61"/>
      <c r="CA20" s="61"/>
      <c r="CB20" s="61"/>
      <c r="CC20" s="61"/>
      <c r="CD20" s="61"/>
      <c r="CE20" s="61"/>
      <c r="CF20" s="61"/>
      <c r="CG20" s="61"/>
      <c r="CH20" s="61"/>
      <c r="CI20" s="83"/>
      <c r="CJ20" s="61"/>
      <c r="CK20" s="61"/>
      <c r="CL20" s="61"/>
      <c r="CM20" s="61"/>
      <c r="CN20" s="61"/>
      <c r="CO20" s="61"/>
      <c r="CP20" s="61"/>
      <c r="CQ20" s="61"/>
      <c r="CR20" s="61"/>
      <c r="CS20" s="61"/>
      <c r="CT20" s="61"/>
      <c r="CU20" s="61"/>
      <c r="CV20" s="61"/>
      <c r="CW20" s="61"/>
      <c r="CX20" s="61"/>
      <c r="CY20" s="61"/>
      <c r="CZ20" s="61"/>
      <c r="DA20" s="84"/>
      <c r="DB20" s="61"/>
      <c r="DC20" s="61"/>
      <c r="DD20" s="61"/>
      <c r="DE20" s="61"/>
      <c r="DF20" s="61"/>
      <c r="DG20" s="61"/>
      <c r="DH20" s="61"/>
      <c r="DI20" s="61"/>
      <c r="DJ20" s="61"/>
      <c r="DK20" s="61"/>
      <c r="DL20" s="61"/>
      <c r="DM20" s="61"/>
      <c r="DN20" s="61"/>
      <c r="DO20" s="61"/>
      <c r="DP20" s="61"/>
      <c r="DQ20" s="80"/>
      <c r="DR20" s="80"/>
      <c r="DS20" s="90"/>
      <c r="DT20" s="69"/>
      <c r="DU20" s="61"/>
      <c r="DV20" s="61"/>
      <c r="DW20" s="61"/>
      <c r="DX20" s="61"/>
      <c r="DY20" s="61"/>
      <c r="DZ20" s="61"/>
      <c r="EA20" s="61"/>
      <c r="EB20" s="61"/>
      <c r="EC20" s="61"/>
      <c r="ED20" s="61"/>
      <c r="EE20" s="61"/>
      <c r="EF20" s="61"/>
      <c r="EG20" s="61"/>
      <c r="EH20" s="61"/>
      <c r="EI20" s="61"/>
      <c r="EJ20" s="61"/>
      <c r="EK20" s="61"/>
      <c r="EL20" s="83"/>
      <c r="EM20" s="61"/>
      <c r="EN20" s="61"/>
      <c r="EO20" s="61"/>
      <c r="EP20" s="61"/>
      <c r="EQ20" s="61"/>
      <c r="ER20" s="61"/>
      <c r="ES20" s="61"/>
      <c r="ET20" s="61"/>
      <c r="EU20" s="61"/>
      <c r="EV20" s="61"/>
      <c r="EW20" s="61"/>
      <c r="EX20" s="61"/>
      <c r="EY20" s="61"/>
      <c r="EZ20" s="61"/>
      <c r="FA20" s="61"/>
      <c r="FB20" s="61"/>
      <c r="FC20" s="61"/>
      <c r="FD20" s="84"/>
      <c r="FE20" s="61"/>
      <c r="FF20" s="61"/>
      <c r="FG20" s="61"/>
      <c r="FH20" s="61"/>
      <c r="FI20" s="61"/>
      <c r="FJ20" s="61"/>
      <c r="FK20" s="61"/>
      <c r="FL20" s="61"/>
      <c r="FM20" s="61"/>
      <c r="FN20" s="61"/>
      <c r="FO20" s="61"/>
      <c r="FP20" s="61"/>
      <c r="FQ20" s="61"/>
      <c r="FR20" s="61"/>
      <c r="FS20" s="61"/>
      <c r="FT20" s="80"/>
      <c r="FU20" s="80"/>
      <c r="FV20" s="90"/>
      <c r="FW20" s="69"/>
      <c r="FX20" s="61"/>
      <c r="FY20" s="61"/>
      <c r="FZ20" s="61"/>
      <c r="GA20" s="61"/>
      <c r="GB20" s="61"/>
      <c r="GC20" s="61"/>
      <c r="GD20" s="61"/>
      <c r="GE20" s="61"/>
      <c r="GF20" s="61"/>
      <c r="GG20" s="61"/>
      <c r="GH20" s="61"/>
      <c r="GI20" s="61"/>
      <c r="GJ20" s="61"/>
      <c r="GK20" s="61"/>
      <c r="GL20" s="61"/>
      <c r="GM20" s="61"/>
      <c r="GN20" s="61"/>
      <c r="GO20" s="83"/>
      <c r="GP20" s="61"/>
      <c r="GQ20" s="61"/>
      <c r="GR20" s="61"/>
      <c r="GS20" s="61"/>
      <c r="GT20" s="61"/>
      <c r="GU20" s="61"/>
      <c r="GV20" s="61"/>
      <c r="GW20" s="61"/>
      <c r="GX20" s="61"/>
      <c r="GY20" s="61"/>
      <c r="GZ20" s="61"/>
      <c r="HA20" s="61"/>
      <c r="HB20" s="61"/>
      <c r="HC20" s="61"/>
      <c r="HD20" s="61"/>
      <c r="HE20" s="61"/>
      <c r="HF20" s="61"/>
      <c r="HG20" s="119"/>
      <c r="HH20" s="61"/>
      <c r="HI20" s="61"/>
      <c r="HJ20" s="61"/>
      <c r="HK20" s="61"/>
      <c r="HL20" s="61"/>
      <c r="HM20" s="61"/>
      <c r="HN20" s="61"/>
      <c r="HO20" s="61"/>
      <c r="HP20" s="61"/>
      <c r="HQ20" s="61"/>
      <c r="HR20" s="61"/>
      <c r="HS20" s="61"/>
      <c r="HT20" s="61"/>
      <c r="HU20" s="61"/>
      <c r="HV20" s="61"/>
      <c r="HW20" s="80"/>
      <c r="HX20" s="80"/>
      <c r="HY20" s="82"/>
      <c r="HZ20" s="61"/>
      <c r="IA20" s="61"/>
    </row>
    <row r="21" spans="1:235" s="26" customFormat="1">
      <c r="A21" s="61"/>
      <c r="B21" s="69"/>
      <c r="C21" s="107"/>
      <c r="D21" s="78"/>
      <c r="E21" s="61"/>
      <c r="F21" s="61"/>
      <c r="G21" s="61"/>
      <c r="H21" s="61"/>
      <c r="I21" s="61"/>
      <c r="J21" s="61"/>
      <c r="K21" s="61"/>
      <c r="L21" s="130"/>
      <c r="M21" s="61"/>
      <c r="N21" s="69"/>
      <c r="O21" s="112"/>
      <c r="P21" s="54"/>
      <c r="Q21" s="28"/>
      <c r="R21" s="107"/>
      <c r="S21" s="107"/>
      <c r="T21" s="107"/>
      <c r="U21" s="61"/>
      <c r="V21" s="61"/>
      <c r="W21" s="61"/>
      <c r="X21" s="61"/>
      <c r="Y21" s="61"/>
      <c r="Z21" s="61"/>
      <c r="AA21" s="61"/>
      <c r="AB21" s="61"/>
      <c r="AC21" s="61"/>
      <c r="AD21" s="61"/>
      <c r="AE21" s="61"/>
      <c r="AF21" s="79"/>
      <c r="AG21" s="61"/>
      <c r="AH21" s="61"/>
      <c r="AI21" s="61"/>
      <c r="AJ21" s="61"/>
      <c r="AK21" s="61"/>
      <c r="AL21" s="61"/>
      <c r="AM21" s="61"/>
      <c r="AN21" s="61"/>
      <c r="AO21" s="61"/>
      <c r="AP21" s="61"/>
      <c r="AQ21" s="61"/>
      <c r="AR21" s="61"/>
      <c r="AS21" s="61"/>
      <c r="AT21" s="61"/>
      <c r="AU21" s="61"/>
      <c r="AV21" s="61"/>
      <c r="AW21" s="61"/>
      <c r="AX21" s="118"/>
      <c r="AY21" s="61"/>
      <c r="AZ21" s="61"/>
      <c r="BA21" s="61"/>
      <c r="BB21" s="61"/>
      <c r="BC21" s="61"/>
      <c r="BD21" s="61"/>
      <c r="BE21" s="61"/>
      <c r="BF21" s="61"/>
      <c r="BG21" s="61"/>
      <c r="BH21" s="61"/>
      <c r="BI21" s="61"/>
      <c r="BJ21" s="61"/>
      <c r="BK21" s="61"/>
      <c r="BL21" s="61"/>
      <c r="BM21" s="61"/>
      <c r="BN21" s="80"/>
      <c r="BO21" s="80"/>
      <c r="BP21" s="82"/>
      <c r="BQ21" s="69"/>
      <c r="BR21" s="61"/>
      <c r="BS21" s="61"/>
      <c r="BT21" s="61"/>
      <c r="BU21" s="61"/>
      <c r="BV21" s="61"/>
      <c r="BW21" s="61"/>
      <c r="BX21" s="61"/>
      <c r="BY21" s="61"/>
      <c r="BZ21" s="61"/>
      <c r="CA21" s="61"/>
      <c r="CB21" s="61"/>
      <c r="CC21" s="61"/>
      <c r="CD21" s="61"/>
      <c r="CE21" s="61"/>
      <c r="CF21" s="61"/>
      <c r="CG21" s="61"/>
      <c r="CH21" s="61"/>
      <c r="CI21" s="83"/>
      <c r="CJ21" s="61"/>
      <c r="CK21" s="61"/>
      <c r="CL21" s="61"/>
      <c r="CM21" s="61"/>
      <c r="CN21" s="61"/>
      <c r="CO21" s="61"/>
      <c r="CP21" s="61"/>
      <c r="CQ21" s="61"/>
      <c r="CR21" s="61"/>
      <c r="CS21" s="61"/>
      <c r="CT21" s="61"/>
      <c r="CU21" s="61"/>
      <c r="CV21" s="61"/>
      <c r="CW21" s="61"/>
      <c r="CX21" s="61"/>
      <c r="CY21" s="61"/>
      <c r="CZ21" s="61"/>
      <c r="DA21" s="84"/>
      <c r="DB21" s="61"/>
      <c r="DC21" s="61"/>
      <c r="DD21" s="61"/>
      <c r="DE21" s="61"/>
      <c r="DF21" s="61"/>
      <c r="DG21" s="61"/>
      <c r="DH21" s="61"/>
      <c r="DI21" s="61"/>
      <c r="DJ21" s="61"/>
      <c r="DK21" s="61"/>
      <c r="DL21" s="61"/>
      <c r="DM21" s="61"/>
      <c r="DN21" s="61"/>
      <c r="DO21" s="61"/>
      <c r="DP21" s="61"/>
      <c r="DQ21" s="80"/>
      <c r="DR21" s="80"/>
      <c r="DS21" s="90"/>
      <c r="DT21" s="69"/>
      <c r="DU21" s="61"/>
      <c r="DV21" s="61"/>
      <c r="DW21" s="61"/>
      <c r="DX21" s="61"/>
      <c r="DY21" s="61"/>
      <c r="DZ21" s="61"/>
      <c r="EA21" s="61"/>
      <c r="EB21" s="61"/>
      <c r="EC21" s="61"/>
      <c r="ED21" s="61"/>
      <c r="EE21" s="61"/>
      <c r="EF21" s="61"/>
      <c r="EG21" s="61"/>
      <c r="EH21" s="61"/>
      <c r="EI21" s="61"/>
      <c r="EJ21" s="61"/>
      <c r="EK21" s="61"/>
      <c r="EL21" s="83"/>
      <c r="EM21" s="61"/>
      <c r="EN21" s="61"/>
      <c r="EO21" s="61"/>
      <c r="EP21" s="61"/>
      <c r="EQ21" s="61"/>
      <c r="ER21" s="61"/>
      <c r="ES21" s="61"/>
      <c r="ET21" s="61"/>
      <c r="EU21" s="61"/>
      <c r="EV21" s="61"/>
      <c r="EW21" s="61"/>
      <c r="EX21" s="61"/>
      <c r="EY21" s="61"/>
      <c r="EZ21" s="61"/>
      <c r="FA21" s="61"/>
      <c r="FB21" s="61"/>
      <c r="FC21" s="61"/>
      <c r="FD21" s="84"/>
      <c r="FE21" s="61"/>
      <c r="FF21" s="61"/>
      <c r="FG21" s="61"/>
      <c r="FH21" s="61"/>
      <c r="FI21" s="61"/>
      <c r="FJ21" s="61"/>
      <c r="FK21" s="61"/>
      <c r="FL21" s="61"/>
      <c r="FM21" s="61"/>
      <c r="FN21" s="61"/>
      <c r="FO21" s="61"/>
      <c r="FP21" s="61"/>
      <c r="FQ21" s="61"/>
      <c r="FR21" s="61"/>
      <c r="FS21" s="61"/>
      <c r="FT21" s="80"/>
      <c r="FU21" s="80"/>
      <c r="FV21" s="90"/>
      <c r="FW21" s="69"/>
      <c r="FX21" s="61"/>
      <c r="FY21" s="61"/>
      <c r="FZ21" s="61"/>
      <c r="GA21" s="61"/>
      <c r="GB21" s="61"/>
      <c r="GC21" s="61"/>
      <c r="GD21" s="61"/>
      <c r="GE21" s="61"/>
      <c r="GF21" s="61"/>
      <c r="GG21" s="61"/>
      <c r="GH21" s="61"/>
      <c r="GI21" s="61"/>
      <c r="GJ21" s="61"/>
      <c r="GK21" s="61"/>
      <c r="GL21" s="61"/>
      <c r="GM21" s="61"/>
      <c r="GN21" s="61"/>
      <c r="GO21" s="83"/>
      <c r="GP21" s="61"/>
      <c r="GQ21" s="61"/>
      <c r="GR21" s="61"/>
      <c r="GS21" s="61"/>
      <c r="GT21" s="61"/>
      <c r="GU21" s="61"/>
      <c r="GV21" s="61"/>
      <c r="GW21" s="61"/>
      <c r="GX21" s="61"/>
      <c r="GY21" s="61"/>
      <c r="GZ21" s="61"/>
      <c r="HA21" s="61"/>
      <c r="HB21" s="61"/>
      <c r="HC21" s="61"/>
      <c r="HD21" s="61"/>
      <c r="HE21" s="61"/>
      <c r="HF21" s="61"/>
      <c r="HG21" s="119"/>
      <c r="HH21" s="61"/>
      <c r="HI21" s="61"/>
      <c r="HJ21" s="61"/>
      <c r="HK21" s="61"/>
      <c r="HL21" s="61"/>
      <c r="HM21" s="61"/>
      <c r="HN21" s="61"/>
      <c r="HO21" s="61"/>
      <c r="HP21" s="61"/>
      <c r="HQ21" s="61"/>
      <c r="HR21" s="61"/>
      <c r="HS21" s="61"/>
      <c r="HT21" s="61"/>
      <c r="HU21" s="61"/>
      <c r="HV21" s="61"/>
      <c r="HW21" s="80"/>
      <c r="HX21" s="80"/>
      <c r="HY21" s="82"/>
      <c r="HZ21" s="61"/>
      <c r="IA21" s="61"/>
    </row>
    <row r="22" spans="1:235" s="26" customFormat="1">
      <c r="A22" s="61"/>
      <c r="B22" s="69"/>
      <c r="C22" s="107"/>
      <c r="D22" s="78"/>
      <c r="E22" s="61"/>
      <c r="F22" s="61"/>
      <c r="G22" s="61"/>
      <c r="H22" s="61"/>
      <c r="I22" s="61"/>
      <c r="J22" s="61"/>
      <c r="K22" s="61"/>
      <c r="L22" s="78"/>
      <c r="M22" s="107"/>
      <c r="N22" s="69"/>
      <c r="O22" s="112"/>
      <c r="P22" s="54"/>
      <c r="Q22" s="28"/>
      <c r="R22" s="61"/>
      <c r="S22" s="107"/>
      <c r="T22" s="107"/>
      <c r="U22" s="61"/>
      <c r="V22" s="61"/>
      <c r="W22" s="61"/>
      <c r="X22" s="61"/>
      <c r="Y22" s="61"/>
      <c r="Z22" s="61"/>
      <c r="AA22" s="61"/>
      <c r="AB22" s="61"/>
      <c r="AC22" s="61"/>
      <c r="AD22" s="61"/>
      <c r="AE22" s="61"/>
      <c r="AF22" s="79"/>
      <c r="AG22" s="61"/>
      <c r="AH22" s="61"/>
      <c r="AI22" s="61"/>
      <c r="AJ22" s="61"/>
      <c r="AK22" s="61"/>
      <c r="AL22" s="61"/>
      <c r="AM22" s="61"/>
      <c r="AN22" s="61"/>
      <c r="AO22" s="61"/>
      <c r="AP22" s="61"/>
      <c r="AQ22" s="61"/>
      <c r="AR22" s="61"/>
      <c r="AS22" s="61"/>
      <c r="AT22" s="61"/>
      <c r="AU22" s="61"/>
      <c r="AV22" s="61"/>
      <c r="AW22" s="61"/>
      <c r="AX22" s="118"/>
      <c r="AY22" s="61"/>
      <c r="AZ22" s="61"/>
      <c r="BA22" s="61"/>
      <c r="BB22" s="61"/>
      <c r="BC22" s="61"/>
      <c r="BD22" s="61"/>
      <c r="BE22" s="61"/>
      <c r="BF22" s="61"/>
      <c r="BG22" s="61"/>
      <c r="BH22" s="61"/>
      <c r="BI22" s="61"/>
      <c r="BJ22" s="61"/>
      <c r="BK22" s="61"/>
      <c r="BL22" s="61"/>
      <c r="BM22" s="61"/>
      <c r="BN22" s="80"/>
      <c r="BO22" s="80"/>
      <c r="BP22" s="90"/>
      <c r="BQ22" s="69"/>
      <c r="BR22" s="61"/>
      <c r="BS22" s="61"/>
      <c r="BT22" s="61"/>
      <c r="BU22" s="61"/>
      <c r="BV22" s="61"/>
      <c r="BW22" s="61"/>
      <c r="BX22" s="61"/>
      <c r="BY22" s="61"/>
      <c r="BZ22" s="61"/>
      <c r="CA22" s="61"/>
      <c r="CB22" s="61"/>
      <c r="CC22" s="61"/>
      <c r="CD22" s="61"/>
      <c r="CE22" s="61"/>
      <c r="CF22" s="61"/>
      <c r="CG22" s="61"/>
      <c r="CH22" s="61"/>
      <c r="CI22" s="83"/>
      <c r="CJ22" s="61"/>
      <c r="CK22" s="61"/>
      <c r="CL22" s="61"/>
      <c r="CM22" s="61"/>
      <c r="CN22" s="61"/>
      <c r="CO22" s="61"/>
      <c r="CP22" s="61"/>
      <c r="CQ22" s="61"/>
      <c r="CR22" s="61"/>
      <c r="CS22" s="61"/>
      <c r="CT22" s="61"/>
      <c r="CU22" s="61"/>
      <c r="CV22" s="61"/>
      <c r="CW22" s="61"/>
      <c r="CX22" s="61"/>
      <c r="CY22" s="61"/>
      <c r="CZ22" s="61"/>
      <c r="DA22" s="84"/>
      <c r="DB22" s="61"/>
      <c r="DC22" s="61"/>
      <c r="DD22" s="61"/>
      <c r="DE22" s="61"/>
      <c r="DF22" s="61"/>
      <c r="DG22" s="61"/>
      <c r="DH22" s="61"/>
      <c r="DI22" s="61"/>
      <c r="DJ22" s="61"/>
      <c r="DK22" s="61"/>
      <c r="DL22" s="61"/>
      <c r="DM22" s="61"/>
      <c r="DN22" s="61"/>
      <c r="DO22" s="61"/>
      <c r="DP22" s="61"/>
      <c r="DQ22" s="80"/>
      <c r="DR22" s="80"/>
      <c r="DS22" s="90"/>
      <c r="DT22" s="69"/>
      <c r="DU22" s="61"/>
      <c r="DV22" s="61"/>
      <c r="DW22" s="61"/>
      <c r="DX22" s="61"/>
      <c r="DY22" s="61"/>
      <c r="DZ22" s="61"/>
      <c r="EA22" s="61"/>
      <c r="EB22" s="61"/>
      <c r="EC22" s="61"/>
      <c r="ED22" s="61"/>
      <c r="EE22" s="61"/>
      <c r="EF22" s="61"/>
      <c r="EG22" s="61"/>
      <c r="EH22" s="61"/>
      <c r="EI22" s="61"/>
      <c r="EJ22" s="61"/>
      <c r="EK22" s="61"/>
      <c r="EL22" s="83"/>
      <c r="EM22" s="61"/>
      <c r="EN22" s="61"/>
      <c r="EO22" s="61"/>
      <c r="EP22" s="61"/>
      <c r="EQ22" s="61"/>
      <c r="ER22" s="61"/>
      <c r="ES22" s="61"/>
      <c r="ET22" s="61"/>
      <c r="EU22" s="61"/>
      <c r="EV22" s="61"/>
      <c r="EW22" s="61"/>
      <c r="EX22" s="61"/>
      <c r="EY22" s="61"/>
      <c r="EZ22" s="61"/>
      <c r="FA22" s="61"/>
      <c r="FB22" s="61"/>
      <c r="FC22" s="61"/>
      <c r="FD22" s="84"/>
      <c r="FE22" s="61"/>
      <c r="FF22" s="61"/>
      <c r="FG22" s="61"/>
      <c r="FH22" s="61"/>
      <c r="FI22" s="61"/>
      <c r="FJ22" s="61"/>
      <c r="FK22" s="61"/>
      <c r="FL22" s="61"/>
      <c r="FM22" s="61"/>
      <c r="FN22" s="61"/>
      <c r="FO22" s="61"/>
      <c r="FP22" s="61"/>
      <c r="FQ22" s="61"/>
      <c r="FR22" s="61"/>
      <c r="FS22" s="61"/>
      <c r="FT22" s="80"/>
      <c r="FU22" s="80"/>
      <c r="FV22" s="90"/>
      <c r="FW22" s="69"/>
      <c r="FX22" s="61"/>
      <c r="FY22" s="61"/>
      <c r="FZ22" s="61"/>
      <c r="GA22" s="61"/>
      <c r="GB22" s="61"/>
      <c r="GC22" s="61"/>
      <c r="GD22" s="61"/>
      <c r="GE22" s="61"/>
      <c r="GF22" s="61"/>
      <c r="GG22" s="61"/>
      <c r="GH22" s="61"/>
      <c r="GI22" s="61"/>
      <c r="GJ22" s="61"/>
      <c r="GK22" s="61"/>
      <c r="GL22" s="61"/>
      <c r="GM22" s="61"/>
      <c r="GN22" s="61"/>
      <c r="GO22" s="83"/>
      <c r="GP22" s="61"/>
      <c r="GQ22" s="61"/>
      <c r="GR22" s="61"/>
      <c r="GS22" s="61"/>
      <c r="GT22" s="61"/>
      <c r="GU22" s="61"/>
      <c r="GV22" s="61"/>
      <c r="GW22" s="61"/>
      <c r="GX22" s="61"/>
      <c r="GY22" s="61"/>
      <c r="GZ22" s="61"/>
      <c r="HA22" s="61"/>
      <c r="HB22" s="61"/>
      <c r="HC22" s="61"/>
      <c r="HD22" s="61"/>
      <c r="HE22" s="61"/>
      <c r="HF22" s="61"/>
      <c r="HG22" s="119"/>
      <c r="HH22" s="61"/>
      <c r="HI22" s="61"/>
      <c r="HJ22" s="61"/>
      <c r="HK22" s="61"/>
      <c r="HL22" s="61"/>
      <c r="HM22" s="61"/>
      <c r="HN22" s="61"/>
      <c r="HO22" s="61"/>
      <c r="HP22" s="61"/>
      <c r="HQ22" s="61"/>
      <c r="HR22" s="61"/>
      <c r="HS22" s="61"/>
      <c r="HT22" s="61"/>
      <c r="HU22" s="61"/>
      <c r="HV22" s="61"/>
      <c r="HW22" s="80"/>
      <c r="HX22" s="80"/>
      <c r="HY22" s="82"/>
      <c r="HZ22" s="61"/>
      <c r="IA22" s="61"/>
    </row>
    <row r="23" spans="1:235" s="26" customFormat="1">
      <c r="A23" s="61"/>
      <c r="B23" s="69"/>
      <c r="C23" s="107"/>
      <c r="D23" s="78"/>
      <c r="E23" s="61"/>
      <c r="F23" s="61"/>
      <c r="G23" s="61"/>
      <c r="H23" s="61"/>
      <c r="I23" s="61"/>
      <c r="J23" s="61"/>
      <c r="K23" s="107"/>
      <c r="L23" s="129"/>
      <c r="M23" s="54"/>
      <c r="N23" s="85"/>
      <c r="O23" s="112"/>
      <c r="P23" s="54"/>
      <c r="Q23" s="28"/>
      <c r="R23" s="61"/>
      <c r="S23" s="107"/>
      <c r="T23" s="107"/>
      <c r="U23" s="61"/>
      <c r="V23" s="61"/>
      <c r="W23" s="61"/>
      <c r="X23" s="61"/>
      <c r="Y23" s="61"/>
      <c r="Z23" s="61"/>
      <c r="AA23" s="61"/>
      <c r="AB23" s="61"/>
      <c r="AC23" s="61"/>
      <c r="AD23" s="61"/>
      <c r="AE23" s="61"/>
      <c r="AF23" s="79"/>
      <c r="AG23" s="61"/>
      <c r="AH23" s="61"/>
      <c r="AI23" s="61"/>
      <c r="AJ23" s="61"/>
      <c r="AK23" s="61"/>
      <c r="AL23" s="61"/>
      <c r="AM23" s="61"/>
      <c r="AN23" s="61"/>
      <c r="AO23" s="61"/>
      <c r="AP23" s="61"/>
      <c r="AQ23" s="61"/>
      <c r="AR23" s="61"/>
      <c r="AS23" s="61"/>
      <c r="AT23" s="61"/>
      <c r="AU23" s="61"/>
      <c r="AV23" s="61"/>
      <c r="AW23" s="61"/>
      <c r="AX23" s="118"/>
      <c r="AY23" s="61"/>
      <c r="AZ23" s="61"/>
      <c r="BA23" s="61"/>
      <c r="BB23" s="61"/>
      <c r="BC23" s="61"/>
      <c r="BD23" s="61"/>
      <c r="BE23" s="61"/>
      <c r="BF23" s="61"/>
      <c r="BG23" s="61"/>
      <c r="BH23" s="61"/>
      <c r="BI23" s="61"/>
      <c r="BJ23" s="61"/>
      <c r="BK23" s="61"/>
      <c r="BL23" s="61"/>
      <c r="BM23" s="61"/>
      <c r="BN23" s="80"/>
      <c r="BO23" s="80"/>
      <c r="BP23" s="90"/>
      <c r="BQ23" s="69"/>
      <c r="BR23" s="112"/>
      <c r="BS23" s="28"/>
      <c r="BT23" s="107"/>
      <c r="BU23" s="107"/>
      <c r="BV23" s="107"/>
      <c r="BW23" s="107"/>
      <c r="BX23" s="61"/>
      <c r="BY23" s="61"/>
      <c r="BZ23" s="61"/>
      <c r="CA23" s="61"/>
      <c r="CB23" s="61"/>
      <c r="CC23" s="61"/>
      <c r="CD23" s="61"/>
      <c r="CE23" s="61"/>
      <c r="CF23" s="61"/>
      <c r="CG23" s="61"/>
      <c r="CH23" s="61"/>
      <c r="CI23" s="83"/>
      <c r="CJ23" s="61"/>
      <c r="CK23" s="61"/>
      <c r="CL23" s="61"/>
      <c r="CM23" s="61"/>
      <c r="CN23" s="61"/>
      <c r="CO23" s="61"/>
      <c r="CP23" s="61"/>
      <c r="CQ23" s="61"/>
      <c r="CR23" s="61"/>
      <c r="CS23" s="61"/>
      <c r="CT23" s="61"/>
      <c r="CU23" s="61"/>
      <c r="CV23" s="61"/>
      <c r="CW23" s="61"/>
      <c r="CX23" s="61"/>
      <c r="CY23" s="61"/>
      <c r="CZ23" s="61"/>
      <c r="DA23" s="84"/>
      <c r="DB23" s="61"/>
      <c r="DC23" s="61"/>
      <c r="DD23" s="61"/>
      <c r="DE23" s="61"/>
      <c r="DF23" s="61"/>
      <c r="DG23" s="61"/>
      <c r="DH23" s="61"/>
      <c r="DI23" s="61"/>
      <c r="DJ23" s="61"/>
      <c r="DK23" s="61"/>
      <c r="DL23" s="61"/>
      <c r="DM23" s="61"/>
      <c r="DN23" s="61"/>
      <c r="DO23" s="61"/>
      <c r="DP23" s="61"/>
      <c r="DQ23" s="80"/>
      <c r="DR23" s="80"/>
      <c r="DS23" s="90"/>
      <c r="DT23" s="69"/>
      <c r="DU23" s="110"/>
      <c r="DV23" s="110"/>
      <c r="DW23" s="110"/>
      <c r="DX23" s="110"/>
      <c r="DY23" s="110"/>
      <c r="DZ23" s="110"/>
      <c r="EA23" s="110"/>
      <c r="EB23" s="110"/>
      <c r="EC23" s="110"/>
      <c r="ED23" s="110"/>
      <c r="EE23" s="110"/>
      <c r="EF23" s="110"/>
      <c r="EG23" s="110"/>
      <c r="EH23" s="110"/>
      <c r="EI23" s="110"/>
      <c r="EJ23" s="110"/>
      <c r="EK23" s="110"/>
      <c r="EL23" s="83"/>
      <c r="EM23" s="110"/>
      <c r="EN23" s="110"/>
      <c r="EO23" s="110"/>
      <c r="EP23" s="110"/>
      <c r="EQ23" s="110"/>
      <c r="ER23" s="110"/>
      <c r="ES23" s="110"/>
      <c r="ET23" s="110"/>
      <c r="EU23" s="110"/>
      <c r="EV23" s="110"/>
      <c r="EW23" s="110"/>
      <c r="EX23" s="110"/>
      <c r="EY23" s="110"/>
      <c r="EZ23" s="110"/>
      <c r="FA23" s="110"/>
      <c r="FB23" s="110"/>
      <c r="FC23" s="110"/>
      <c r="FD23" s="84"/>
      <c r="FE23" s="110"/>
      <c r="FF23" s="110"/>
      <c r="FG23" s="110"/>
      <c r="FH23" s="110"/>
      <c r="FI23" s="110"/>
      <c r="FJ23" s="110"/>
      <c r="FK23" s="110"/>
      <c r="FL23" s="110"/>
      <c r="FM23" s="110"/>
      <c r="FN23" s="110"/>
      <c r="FO23" s="110"/>
      <c r="FP23" s="110"/>
      <c r="FQ23" s="110"/>
      <c r="FR23" s="110"/>
      <c r="FS23" s="110"/>
      <c r="FT23" s="80"/>
      <c r="FU23" s="80"/>
      <c r="FV23" s="91"/>
      <c r="FW23" s="85"/>
      <c r="FX23" s="110"/>
      <c r="FY23" s="110"/>
      <c r="FZ23" s="110"/>
      <c r="GA23" s="110"/>
      <c r="GB23" s="110"/>
      <c r="GC23" s="110"/>
      <c r="GD23" s="110"/>
      <c r="GE23" s="110"/>
      <c r="GF23" s="110"/>
      <c r="GG23" s="110"/>
      <c r="GH23" s="110"/>
      <c r="GI23" s="110"/>
      <c r="GJ23" s="110"/>
      <c r="GK23" s="110"/>
      <c r="GL23" s="110"/>
      <c r="GM23" s="110"/>
      <c r="GN23" s="110"/>
      <c r="GO23" s="92"/>
      <c r="GP23" s="110"/>
      <c r="GQ23" s="110"/>
      <c r="GR23" s="110"/>
      <c r="GS23" s="110"/>
      <c r="GT23" s="110"/>
      <c r="GU23" s="110"/>
      <c r="GV23" s="110"/>
      <c r="GW23" s="110"/>
      <c r="GX23" s="110"/>
      <c r="GY23" s="110"/>
      <c r="GZ23" s="110"/>
      <c r="HA23" s="110"/>
      <c r="HB23" s="110"/>
      <c r="HC23" s="110"/>
      <c r="HD23" s="110"/>
      <c r="HE23" s="110"/>
      <c r="HF23" s="110"/>
      <c r="HG23" s="127"/>
      <c r="HH23" s="110"/>
      <c r="HI23" s="110"/>
      <c r="HJ23" s="110"/>
      <c r="HK23" s="110"/>
      <c r="HL23" s="110"/>
      <c r="HM23" s="110"/>
      <c r="HN23" s="110"/>
      <c r="HO23" s="110"/>
      <c r="HP23" s="110"/>
      <c r="HQ23" s="110"/>
      <c r="HR23" s="110"/>
      <c r="HS23" s="110"/>
      <c r="HT23" s="110"/>
      <c r="HU23" s="110"/>
      <c r="HV23" s="110"/>
      <c r="HW23" s="93"/>
      <c r="HX23" s="93"/>
      <c r="HY23" s="94"/>
      <c r="HZ23" s="61"/>
      <c r="IA23" s="61"/>
    </row>
    <row r="24" spans="1:235" s="26" customFormat="1">
      <c r="A24" s="61"/>
      <c r="B24" s="69"/>
      <c r="C24" s="61"/>
      <c r="D24" s="78"/>
      <c r="E24" s="61"/>
      <c r="F24" s="61"/>
      <c r="G24" s="61"/>
      <c r="H24" s="61"/>
      <c r="I24" s="61"/>
      <c r="J24" s="61"/>
      <c r="K24" s="61"/>
      <c r="L24" s="78"/>
      <c r="M24" s="107"/>
      <c r="N24" s="69"/>
      <c r="O24" s="112"/>
      <c r="P24" s="54"/>
      <c r="Q24" s="28"/>
      <c r="R24" s="61"/>
      <c r="S24" s="107"/>
      <c r="T24" s="107"/>
      <c r="U24" s="61"/>
      <c r="V24" s="61"/>
      <c r="W24" s="61"/>
      <c r="X24" s="61"/>
      <c r="Y24" s="61"/>
      <c r="Z24" s="61"/>
      <c r="AA24" s="61"/>
      <c r="AB24" s="61"/>
      <c r="AC24" s="61"/>
      <c r="AD24" s="61"/>
      <c r="AE24" s="61"/>
      <c r="AF24" s="79"/>
      <c r="AG24" s="61"/>
      <c r="AH24" s="61"/>
      <c r="AI24" s="61"/>
      <c r="AJ24" s="61"/>
      <c r="AK24" s="61"/>
      <c r="AL24" s="61"/>
      <c r="AM24" s="61"/>
      <c r="AN24" s="61"/>
      <c r="AO24" s="61"/>
      <c r="AP24" s="61"/>
      <c r="AQ24" s="61"/>
      <c r="AR24" s="61"/>
      <c r="AS24" s="61"/>
      <c r="AT24" s="61"/>
      <c r="AU24" s="61"/>
      <c r="AV24" s="61"/>
      <c r="AW24" s="61"/>
      <c r="AX24" s="118"/>
      <c r="AY24" s="61"/>
      <c r="AZ24" s="61"/>
      <c r="BA24" s="61"/>
      <c r="BB24" s="61"/>
      <c r="BC24" s="61"/>
      <c r="BD24" s="61"/>
      <c r="BE24" s="61"/>
      <c r="BF24" s="61"/>
      <c r="BG24" s="61"/>
      <c r="BH24" s="61"/>
      <c r="BI24" s="61"/>
      <c r="BJ24" s="61"/>
      <c r="BK24" s="61"/>
      <c r="BL24" s="61"/>
      <c r="BM24" s="61"/>
      <c r="BN24" s="80"/>
      <c r="BO24" s="80"/>
      <c r="BP24" s="90"/>
      <c r="BQ24" s="69"/>
      <c r="BR24" s="112"/>
      <c r="BS24" s="28"/>
      <c r="BT24" s="107"/>
      <c r="BU24" s="61"/>
      <c r="BV24" s="107"/>
      <c r="BW24" s="107"/>
      <c r="BX24" s="61"/>
      <c r="BY24" s="61"/>
      <c r="BZ24" s="61"/>
      <c r="CA24" s="61"/>
      <c r="CB24" s="61"/>
      <c r="CC24" s="61"/>
      <c r="CD24" s="61"/>
      <c r="CE24" s="61"/>
      <c r="CF24" s="61"/>
      <c r="CG24" s="61"/>
      <c r="CH24" s="61"/>
      <c r="CI24" s="83"/>
      <c r="CJ24" s="61"/>
      <c r="CK24" s="61"/>
      <c r="CL24" s="61"/>
      <c r="CM24" s="61"/>
      <c r="CN24" s="61"/>
      <c r="CO24" s="61"/>
      <c r="CP24" s="61"/>
      <c r="CQ24" s="61"/>
      <c r="CR24" s="61"/>
      <c r="CS24" s="61"/>
      <c r="CT24" s="61"/>
      <c r="CU24" s="61"/>
      <c r="CV24" s="61"/>
      <c r="CW24" s="61"/>
      <c r="CX24" s="61"/>
      <c r="CY24" s="61"/>
      <c r="CZ24" s="61"/>
      <c r="DA24" s="84"/>
      <c r="DB24" s="61"/>
      <c r="DC24" s="61"/>
      <c r="DD24" s="61"/>
      <c r="DE24" s="61"/>
      <c r="DF24" s="61"/>
      <c r="DG24" s="61"/>
      <c r="DH24" s="61"/>
      <c r="DI24" s="61"/>
      <c r="DJ24" s="61"/>
      <c r="DK24" s="61"/>
      <c r="DL24" s="61"/>
      <c r="DM24" s="61"/>
      <c r="DN24" s="61"/>
      <c r="DO24" s="61"/>
      <c r="DP24" s="61"/>
      <c r="DQ24" s="80"/>
      <c r="DR24" s="80"/>
      <c r="DS24" s="90"/>
      <c r="DT24" s="69"/>
      <c r="DU24" s="112"/>
      <c r="DV24" s="28"/>
      <c r="DW24" s="28"/>
      <c r="DX24" s="61"/>
      <c r="DY24" s="107"/>
      <c r="DZ24" s="107"/>
      <c r="EA24" s="61"/>
      <c r="EB24" s="61"/>
      <c r="EC24" s="61"/>
      <c r="ED24" s="61"/>
      <c r="EE24" s="61"/>
      <c r="EF24" s="61"/>
      <c r="EG24" s="61"/>
      <c r="EH24" s="61"/>
      <c r="EI24" s="61"/>
      <c r="EJ24" s="61"/>
      <c r="EK24" s="61"/>
      <c r="EL24" s="83"/>
      <c r="EM24" s="61"/>
      <c r="EN24" s="61"/>
      <c r="EO24" s="61"/>
      <c r="EP24" s="61"/>
      <c r="EQ24" s="61"/>
      <c r="ER24" s="61"/>
      <c r="ES24" s="61"/>
      <c r="ET24" s="61"/>
      <c r="EU24" s="61"/>
      <c r="EV24" s="61"/>
      <c r="EW24" s="61"/>
      <c r="EX24" s="61"/>
      <c r="EY24" s="61"/>
      <c r="EZ24" s="61"/>
      <c r="FA24" s="61"/>
      <c r="FB24" s="61"/>
      <c r="FC24" s="61"/>
      <c r="FD24" s="84"/>
      <c r="FE24" s="61"/>
      <c r="FF24" s="61"/>
      <c r="FG24" s="61"/>
      <c r="FH24" s="61"/>
      <c r="FI24" s="61"/>
      <c r="FJ24" s="61"/>
      <c r="FK24" s="61"/>
      <c r="FL24" s="61"/>
      <c r="FM24" s="61"/>
      <c r="FN24" s="61"/>
      <c r="FO24" s="61"/>
      <c r="FP24" s="61"/>
      <c r="FQ24" s="61"/>
      <c r="FR24" s="61"/>
      <c r="FS24" s="61"/>
      <c r="FT24" s="80"/>
      <c r="FU24" s="80"/>
      <c r="FV24" s="90"/>
      <c r="FW24" s="69"/>
      <c r="FX24" s="61"/>
      <c r="FY24" s="61"/>
      <c r="FZ24" s="61"/>
      <c r="GA24" s="61"/>
      <c r="GB24" s="61"/>
      <c r="GC24" s="61"/>
      <c r="GD24" s="61"/>
      <c r="GE24" s="61"/>
      <c r="GF24" s="61"/>
      <c r="GG24" s="61"/>
      <c r="GH24" s="61"/>
      <c r="GI24" s="61"/>
      <c r="GJ24" s="61"/>
      <c r="GK24" s="61"/>
      <c r="GL24" s="61"/>
      <c r="GM24" s="61"/>
      <c r="GN24" s="61"/>
      <c r="GO24" s="83"/>
      <c r="GP24" s="61"/>
      <c r="GQ24" s="61"/>
      <c r="GR24" s="61"/>
      <c r="GS24" s="61"/>
      <c r="GT24" s="61"/>
      <c r="GU24" s="61"/>
      <c r="GV24" s="61"/>
      <c r="GW24" s="61"/>
      <c r="GX24" s="61"/>
      <c r="GY24" s="61"/>
      <c r="GZ24" s="61"/>
      <c r="HA24" s="61"/>
      <c r="HB24" s="61"/>
      <c r="HC24" s="61"/>
      <c r="HD24" s="61"/>
      <c r="HE24" s="61"/>
      <c r="HF24" s="61"/>
      <c r="HG24" s="119"/>
      <c r="HH24" s="61"/>
      <c r="HI24" s="61"/>
      <c r="HJ24" s="61"/>
      <c r="HK24" s="61"/>
      <c r="HL24" s="61"/>
      <c r="HM24" s="61"/>
      <c r="HN24" s="61"/>
      <c r="HO24" s="61"/>
      <c r="HP24" s="61"/>
      <c r="HQ24" s="61"/>
      <c r="HR24" s="61"/>
      <c r="HS24" s="61"/>
      <c r="HT24" s="61"/>
      <c r="HU24" s="61"/>
      <c r="HV24" s="61"/>
      <c r="HW24" s="80"/>
      <c r="HX24" s="80"/>
      <c r="HY24" s="82"/>
      <c r="HZ24" s="61"/>
      <c r="IA24" s="61"/>
    </row>
    <row r="25" spans="1:235" s="26" customFormat="1">
      <c r="A25" s="61"/>
      <c r="B25" s="69"/>
      <c r="C25" s="61"/>
      <c r="D25" s="78"/>
      <c r="E25" s="61"/>
      <c r="F25" s="61"/>
      <c r="G25" s="61"/>
      <c r="H25" s="107"/>
      <c r="I25" s="61"/>
      <c r="J25" s="61"/>
      <c r="K25" s="61"/>
      <c r="L25" s="130"/>
      <c r="M25" s="61"/>
      <c r="N25" s="69"/>
      <c r="O25" s="112"/>
      <c r="P25" s="28"/>
      <c r="Q25" s="28"/>
      <c r="R25" s="61"/>
      <c r="S25" s="107"/>
      <c r="T25" s="107"/>
      <c r="U25" s="61"/>
      <c r="V25" s="61"/>
      <c r="W25" s="61"/>
      <c r="X25" s="61"/>
      <c r="Y25" s="61"/>
      <c r="Z25" s="61"/>
      <c r="AA25" s="61"/>
      <c r="AB25" s="61"/>
      <c r="AC25" s="61"/>
      <c r="AD25" s="61"/>
      <c r="AE25" s="61"/>
      <c r="AF25" s="79"/>
      <c r="AG25" s="61"/>
      <c r="AH25" s="61"/>
      <c r="AI25" s="61"/>
      <c r="AJ25" s="61"/>
      <c r="AK25" s="61"/>
      <c r="AL25" s="61"/>
      <c r="AM25" s="61"/>
      <c r="AN25" s="61"/>
      <c r="AO25" s="61"/>
      <c r="AP25" s="61"/>
      <c r="AQ25" s="61"/>
      <c r="AR25" s="61"/>
      <c r="AS25" s="61"/>
      <c r="AT25" s="61"/>
      <c r="AU25" s="61"/>
      <c r="AV25" s="61"/>
      <c r="AW25" s="61"/>
      <c r="AX25" s="118"/>
      <c r="AY25" s="61"/>
      <c r="AZ25" s="61"/>
      <c r="BA25" s="61"/>
      <c r="BB25" s="61"/>
      <c r="BC25" s="61"/>
      <c r="BD25" s="61"/>
      <c r="BE25" s="61"/>
      <c r="BF25" s="61"/>
      <c r="BG25" s="61"/>
      <c r="BH25" s="61"/>
      <c r="BI25" s="61"/>
      <c r="BJ25" s="61"/>
      <c r="BK25" s="61"/>
      <c r="BL25" s="61"/>
      <c r="BM25" s="61"/>
      <c r="BN25" s="80"/>
      <c r="BO25" s="80"/>
      <c r="BP25" s="90"/>
      <c r="BQ25" s="69"/>
      <c r="BR25" s="61"/>
      <c r="BS25" s="61"/>
      <c r="BT25" s="61"/>
      <c r="BU25" s="61"/>
      <c r="BV25" s="61"/>
      <c r="BW25" s="61"/>
      <c r="BX25" s="61"/>
      <c r="BY25" s="61"/>
      <c r="BZ25" s="61"/>
      <c r="CA25" s="61"/>
      <c r="CB25" s="61"/>
      <c r="CC25" s="61"/>
      <c r="CD25" s="61"/>
      <c r="CE25" s="61"/>
      <c r="CF25" s="61"/>
      <c r="CG25" s="61"/>
      <c r="CH25" s="61"/>
      <c r="CI25" s="83"/>
      <c r="CJ25" s="61"/>
      <c r="CK25" s="61"/>
      <c r="CL25" s="61"/>
      <c r="CM25" s="61"/>
      <c r="CN25" s="61"/>
      <c r="CO25" s="61"/>
      <c r="CP25" s="61"/>
      <c r="CQ25" s="61"/>
      <c r="CR25" s="61"/>
      <c r="CS25" s="61"/>
      <c r="CT25" s="61"/>
      <c r="CU25" s="61"/>
      <c r="CV25" s="61"/>
      <c r="CW25" s="61"/>
      <c r="CX25" s="61"/>
      <c r="CY25" s="61"/>
      <c r="CZ25" s="61"/>
      <c r="DA25" s="84"/>
      <c r="DB25" s="61"/>
      <c r="DC25" s="61"/>
      <c r="DD25" s="61"/>
      <c r="DE25" s="61"/>
      <c r="DF25" s="61"/>
      <c r="DG25" s="61"/>
      <c r="DH25" s="61"/>
      <c r="DI25" s="61"/>
      <c r="DJ25" s="61"/>
      <c r="DK25" s="61"/>
      <c r="DL25" s="61"/>
      <c r="DM25" s="61"/>
      <c r="DN25" s="61"/>
      <c r="DO25" s="61"/>
      <c r="DP25" s="61"/>
      <c r="DQ25" s="80"/>
      <c r="DR25" s="80"/>
      <c r="DS25" s="90"/>
      <c r="DT25" s="69"/>
      <c r="DU25" s="61"/>
      <c r="DV25" s="61"/>
      <c r="DW25" s="61"/>
      <c r="DX25" s="61"/>
      <c r="DY25" s="61"/>
      <c r="DZ25" s="61"/>
      <c r="EA25" s="61"/>
      <c r="EB25" s="61"/>
      <c r="EC25" s="61"/>
      <c r="ED25" s="61"/>
      <c r="EE25" s="61"/>
      <c r="EF25" s="61"/>
      <c r="EG25" s="61"/>
      <c r="EH25" s="61"/>
      <c r="EI25" s="61"/>
      <c r="EJ25" s="61"/>
      <c r="EK25" s="61"/>
      <c r="EL25" s="83"/>
      <c r="EM25" s="61"/>
      <c r="EN25" s="61"/>
      <c r="EO25" s="61"/>
      <c r="EP25" s="61"/>
      <c r="EQ25" s="61"/>
      <c r="ER25" s="61"/>
      <c r="ES25" s="61"/>
      <c r="ET25" s="61"/>
      <c r="EU25" s="61"/>
      <c r="EV25" s="61"/>
      <c r="EW25" s="61"/>
      <c r="EX25" s="61"/>
      <c r="EY25" s="61"/>
      <c r="EZ25" s="61"/>
      <c r="FA25" s="61"/>
      <c r="FB25" s="61"/>
      <c r="FC25" s="61"/>
      <c r="FD25" s="84"/>
      <c r="FE25" s="61"/>
      <c r="FF25" s="61"/>
      <c r="FG25" s="61"/>
      <c r="FH25" s="61"/>
      <c r="FI25" s="61"/>
      <c r="FJ25" s="61"/>
      <c r="FK25" s="61"/>
      <c r="FL25" s="61"/>
      <c r="FM25" s="61"/>
      <c r="FN25" s="61"/>
      <c r="FO25" s="61"/>
      <c r="FP25" s="61"/>
      <c r="FQ25" s="61"/>
      <c r="FR25" s="61"/>
      <c r="FS25" s="61"/>
      <c r="FT25" s="80"/>
      <c r="FU25" s="80"/>
      <c r="FV25" s="90"/>
      <c r="FW25" s="69"/>
      <c r="FX25" s="61"/>
      <c r="FY25" s="61"/>
      <c r="FZ25" s="61"/>
      <c r="GA25" s="61"/>
      <c r="GB25" s="61"/>
      <c r="GC25" s="61"/>
      <c r="GD25" s="61"/>
      <c r="GE25" s="61"/>
      <c r="GF25" s="61"/>
      <c r="GG25" s="61"/>
      <c r="GH25" s="61"/>
      <c r="GI25" s="61"/>
      <c r="GJ25" s="61"/>
      <c r="GK25" s="61"/>
      <c r="GL25" s="61"/>
      <c r="GM25" s="61"/>
      <c r="GN25" s="61"/>
      <c r="GO25" s="83"/>
      <c r="GP25" s="61"/>
      <c r="GQ25" s="61"/>
      <c r="GR25" s="61"/>
      <c r="GS25" s="61"/>
      <c r="GT25" s="61"/>
      <c r="GU25" s="61"/>
      <c r="GV25" s="61"/>
      <c r="GW25" s="61"/>
      <c r="GX25" s="61"/>
      <c r="GY25" s="61"/>
      <c r="GZ25" s="61"/>
      <c r="HA25" s="61"/>
      <c r="HB25" s="61"/>
      <c r="HC25" s="61"/>
      <c r="HD25" s="61"/>
      <c r="HE25" s="61"/>
      <c r="HF25" s="61"/>
      <c r="HG25" s="119"/>
      <c r="HH25" s="61"/>
      <c r="HI25" s="61"/>
      <c r="HJ25" s="61"/>
      <c r="HK25" s="61"/>
      <c r="HL25" s="61"/>
      <c r="HM25" s="61"/>
      <c r="HN25" s="61"/>
      <c r="HO25" s="61"/>
      <c r="HP25" s="61"/>
      <c r="HQ25" s="61"/>
      <c r="HR25" s="61"/>
      <c r="HS25" s="61"/>
      <c r="HT25" s="61"/>
      <c r="HU25" s="61"/>
      <c r="HV25" s="61"/>
      <c r="HW25" s="80"/>
      <c r="HX25" s="80"/>
      <c r="HY25" s="82"/>
      <c r="HZ25" s="61"/>
      <c r="IA25" s="61"/>
    </row>
    <row r="26" spans="1:235" s="26" customFormat="1">
      <c r="A26" s="61"/>
      <c r="B26" s="69"/>
      <c r="C26" s="61"/>
      <c r="D26" s="78"/>
      <c r="E26" s="61"/>
      <c r="F26" s="61"/>
      <c r="G26" s="61"/>
      <c r="H26" s="61"/>
      <c r="I26" s="61"/>
      <c r="J26" s="61"/>
      <c r="K26" s="61"/>
      <c r="L26" s="130"/>
      <c r="M26" s="61"/>
      <c r="N26" s="69"/>
      <c r="O26" s="112"/>
      <c r="P26" s="28"/>
      <c r="Q26" s="28"/>
      <c r="R26" s="61"/>
      <c r="S26" s="107"/>
      <c r="T26" s="107"/>
      <c r="U26" s="61"/>
      <c r="V26" s="61"/>
      <c r="W26" s="61"/>
      <c r="X26" s="61"/>
      <c r="Y26" s="61"/>
      <c r="Z26" s="61"/>
      <c r="AA26" s="61"/>
      <c r="AB26" s="61"/>
      <c r="AC26" s="61"/>
      <c r="AD26" s="61"/>
      <c r="AE26" s="61"/>
      <c r="AF26" s="79"/>
      <c r="AG26" s="61"/>
      <c r="AH26" s="61"/>
      <c r="AI26" s="61"/>
      <c r="AJ26" s="61"/>
      <c r="AK26" s="61"/>
      <c r="AL26" s="61"/>
      <c r="AM26" s="61"/>
      <c r="AN26" s="61"/>
      <c r="AO26" s="61"/>
      <c r="AP26" s="61"/>
      <c r="AQ26" s="61"/>
      <c r="AR26" s="61"/>
      <c r="AS26" s="61"/>
      <c r="AT26" s="61"/>
      <c r="AU26" s="61"/>
      <c r="AV26" s="61"/>
      <c r="AW26" s="61"/>
      <c r="AX26" s="118"/>
      <c r="AY26" s="61"/>
      <c r="AZ26" s="61"/>
      <c r="BA26" s="61"/>
      <c r="BB26" s="61"/>
      <c r="BC26" s="61"/>
      <c r="BD26" s="61"/>
      <c r="BE26" s="61"/>
      <c r="BF26" s="61"/>
      <c r="BG26" s="61"/>
      <c r="BH26" s="61"/>
      <c r="BI26" s="61"/>
      <c r="BJ26" s="61"/>
      <c r="BK26" s="61"/>
      <c r="BL26" s="61"/>
      <c r="BM26" s="61"/>
      <c r="BN26" s="80"/>
      <c r="BO26" s="80"/>
      <c r="BP26" s="90"/>
      <c r="BQ26" s="69"/>
      <c r="BR26" s="61"/>
      <c r="BS26" s="61"/>
      <c r="BT26" s="61"/>
      <c r="BU26" s="61"/>
      <c r="BV26" s="61"/>
      <c r="BW26" s="61"/>
      <c r="BX26" s="61"/>
      <c r="BY26" s="61"/>
      <c r="BZ26" s="61"/>
      <c r="CA26" s="61"/>
      <c r="CB26" s="61"/>
      <c r="CC26" s="61"/>
      <c r="CD26" s="61"/>
      <c r="CE26" s="61"/>
      <c r="CF26" s="61"/>
      <c r="CG26" s="61"/>
      <c r="CH26" s="61"/>
      <c r="CI26" s="83"/>
      <c r="CJ26" s="61"/>
      <c r="CK26" s="61"/>
      <c r="CL26" s="61"/>
      <c r="CM26" s="61"/>
      <c r="CN26" s="61"/>
      <c r="CO26" s="61"/>
      <c r="CP26" s="61"/>
      <c r="CQ26" s="61"/>
      <c r="CR26" s="61"/>
      <c r="CS26" s="61"/>
      <c r="CT26" s="61"/>
      <c r="CU26" s="61"/>
      <c r="CV26" s="61"/>
      <c r="CW26" s="61"/>
      <c r="CX26" s="61"/>
      <c r="CY26" s="61"/>
      <c r="CZ26" s="61"/>
      <c r="DA26" s="84"/>
      <c r="DB26" s="61"/>
      <c r="DC26" s="61"/>
      <c r="DD26" s="61"/>
      <c r="DE26" s="61"/>
      <c r="DF26" s="61"/>
      <c r="DG26" s="61"/>
      <c r="DH26" s="61"/>
      <c r="DI26" s="61"/>
      <c r="DJ26" s="61"/>
      <c r="DK26" s="61"/>
      <c r="DL26" s="61"/>
      <c r="DM26" s="61"/>
      <c r="DN26" s="61"/>
      <c r="DO26" s="61"/>
      <c r="DP26" s="61"/>
      <c r="DQ26" s="80"/>
      <c r="DR26" s="80"/>
      <c r="DS26" s="90"/>
      <c r="DT26" s="69"/>
      <c r="DU26" s="61"/>
      <c r="DV26" s="61"/>
      <c r="DW26" s="61"/>
      <c r="DX26" s="61"/>
      <c r="DY26" s="61"/>
      <c r="DZ26" s="61"/>
      <c r="EA26" s="61"/>
      <c r="EB26" s="61"/>
      <c r="EC26" s="61"/>
      <c r="ED26" s="61"/>
      <c r="EE26" s="61"/>
      <c r="EF26" s="61"/>
      <c r="EG26" s="61"/>
      <c r="EH26" s="61"/>
      <c r="EI26" s="61"/>
      <c r="EJ26" s="61"/>
      <c r="EK26" s="61"/>
      <c r="EL26" s="83"/>
      <c r="EM26" s="61"/>
      <c r="EN26" s="61"/>
      <c r="EO26" s="61"/>
      <c r="EP26" s="61"/>
      <c r="EQ26" s="61"/>
      <c r="ER26" s="61"/>
      <c r="ES26" s="61"/>
      <c r="ET26" s="61"/>
      <c r="EU26" s="61"/>
      <c r="EV26" s="61"/>
      <c r="EW26" s="61"/>
      <c r="EX26" s="61"/>
      <c r="EY26" s="61"/>
      <c r="EZ26" s="61"/>
      <c r="FA26" s="61"/>
      <c r="FB26" s="61"/>
      <c r="FC26" s="61"/>
      <c r="FD26" s="84"/>
      <c r="FE26" s="61"/>
      <c r="FF26" s="61"/>
      <c r="FG26" s="61"/>
      <c r="FH26" s="61"/>
      <c r="FI26" s="61"/>
      <c r="FJ26" s="61"/>
      <c r="FK26" s="61"/>
      <c r="FL26" s="61"/>
      <c r="FM26" s="61"/>
      <c r="FN26" s="61"/>
      <c r="FO26" s="61"/>
      <c r="FP26" s="61"/>
      <c r="FQ26" s="61"/>
      <c r="FR26" s="61"/>
      <c r="FS26" s="61"/>
      <c r="FT26" s="80"/>
      <c r="FU26" s="80"/>
      <c r="FV26" s="90"/>
      <c r="FW26" s="69"/>
      <c r="FX26" s="61"/>
      <c r="FY26" s="61"/>
      <c r="FZ26" s="61"/>
      <c r="GA26" s="61"/>
      <c r="GB26" s="61"/>
      <c r="GC26" s="61"/>
      <c r="GD26" s="61"/>
      <c r="GE26" s="61"/>
      <c r="GF26" s="61"/>
      <c r="GG26" s="61"/>
      <c r="GH26" s="61"/>
      <c r="GI26" s="61"/>
      <c r="GJ26" s="61"/>
      <c r="GK26" s="61"/>
      <c r="GL26" s="61"/>
      <c r="GM26" s="61"/>
      <c r="GN26" s="61"/>
      <c r="GO26" s="83"/>
      <c r="GP26" s="61"/>
      <c r="GQ26" s="61"/>
      <c r="GR26" s="61"/>
      <c r="GS26" s="61"/>
      <c r="GT26" s="61"/>
      <c r="GU26" s="61"/>
      <c r="GV26" s="61"/>
      <c r="GW26" s="61"/>
      <c r="GX26" s="61"/>
      <c r="GY26" s="61"/>
      <c r="GZ26" s="61"/>
      <c r="HA26" s="61"/>
      <c r="HB26" s="61"/>
      <c r="HC26" s="61"/>
      <c r="HD26" s="61"/>
      <c r="HE26" s="61"/>
      <c r="HF26" s="61"/>
      <c r="HG26" s="119"/>
      <c r="HH26" s="61"/>
      <c r="HI26" s="61"/>
      <c r="HJ26" s="61"/>
      <c r="HK26" s="61"/>
      <c r="HL26" s="61"/>
      <c r="HM26" s="61"/>
      <c r="HN26" s="61"/>
      <c r="HO26" s="61"/>
      <c r="HP26" s="61"/>
      <c r="HQ26" s="61"/>
      <c r="HR26" s="61"/>
      <c r="HS26" s="61"/>
      <c r="HT26" s="61"/>
      <c r="HU26" s="61"/>
      <c r="HV26" s="61"/>
      <c r="HW26" s="80"/>
      <c r="HX26" s="80"/>
      <c r="HY26" s="82"/>
      <c r="HZ26" s="61"/>
      <c r="IA26" s="61"/>
    </row>
    <row r="27" spans="1:235" s="26" customFormat="1">
      <c r="A27" s="61"/>
      <c r="B27" s="69"/>
      <c r="C27" s="107"/>
      <c r="D27" s="78"/>
      <c r="E27" s="61"/>
      <c r="F27" s="61"/>
      <c r="G27" s="61"/>
      <c r="H27" s="107"/>
      <c r="I27" s="61"/>
      <c r="J27" s="61"/>
      <c r="K27" s="107"/>
      <c r="L27" s="78"/>
      <c r="M27" s="107"/>
      <c r="N27" s="69"/>
      <c r="O27" s="112"/>
      <c r="P27" s="28"/>
      <c r="Q27" s="28"/>
      <c r="R27" s="61"/>
      <c r="S27" s="107"/>
      <c r="T27" s="107"/>
      <c r="U27" s="61"/>
      <c r="V27" s="61"/>
      <c r="W27" s="61"/>
      <c r="X27" s="61"/>
      <c r="Y27" s="61"/>
      <c r="Z27" s="61"/>
      <c r="AA27" s="61"/>
      <c r="AB27" s="61"/>
      <c r="AC27" s="61"/>
      <c r="AD27" s="61"/>
      <c r="AE27" s="61"/>
      <c r="AF27" s="79"/>
      <c r="AG27" s="61"/>
      <c r="AH27" s="61"/>
      <c r="AI27" s="61"/>
      <c r="AJ27" s="61"/>
      <c r="AK27" s="61"/>
      <c r="AL27" s="61"/>
      <c r="AM27" s="61"/>
      <c r="AN27" s="61"/>
      <c r="AO27" s="61"/>
      <c r="AP27" s="61"/>
      <c r="AQ27" s="61"/>
      <c r="AR27" s="61"/>
      <c r="AS27" s="61"/>
      <c r="AT27" s="61"/>
      <c r="AU27" s="61"/>
      <c r="AV27" s="61"/>
      <c r="AW27" s="61"/>
      <c r="AX27" s="118"/>
      <c r="AY27" s="61"/>
      <c r="AZ27" s="61"/>
      <c r="BA27" s="61"/>
      <c r="BB27" s="61"/>
      <c r="BC27" s="61"/>
      <c r="BD27" s="61"/>
      <c r="BE27" s="61"/>
      <c r="BF27" s="61"/>
      <c r="BG27" s="61"/>
      <c r="BH27" s="61"/>
      <c r="BI27" s="61"/>
      <c r="BJ27" s="61"/>
      <c r="BK27" s="61"/>
      <c r="BL27" s="61"/>
      <c r="BM27" s="61"/>
      <c r="BN27" s="80"/>
      <c r="BO27" s="80"/>
      <c r="BP27" s="90"/>
      <c r="BQ27" s="69"/>
      <c r="BR27" s="112"/>
      <c r="BS27" s="28"/>
      <c r="BT27" s="107"/>
      <c r="BU27" s="61"/>
      <c r="BV27" s="107"/>
      <c r="BW27" s="107"/>
      <c r="BX27" s="61"/>
      <c r="BY27" s="61"/>
      <c r="BZ27" s="61"/>
      <c r="CA27" s="61"/>
      <c r="CB27" s="61"/>
      <c r="CC27" s="61"/>
      <c r="CD27" s="61"/>
      <c r="CE27" s="61"/>
      <c r="CF27" s="61"/>
      <c r="CG27" s="61"/>
      <c r="CH27" s="61"/>
      <c r="CI27" s="83"/>
      <c r="CJ27" s="61"/>
      <c r="CK27" s="61"/>
      <c r="CL27" s="61"/>
      <c r="CM27" s="61"/>
      <c r="CN27" s="61"/>
      <c r="CO27" s="61"/>
      <c r="CP27" s="61"/>
      <c r="CQ27" s="61"/>
      <c r="CR27" s="61"/>
      <c r="CS27" s="61"/>
      <c r="CT27" s="61"/>
      <c r="CU27" s="61"/>
      <c r="CV27" s="61"/>
      <c r="CW27" s="61"/>
      <c r="CX27" s="61"/>
      <c r="CY27" s="61"/>
      <c r="CZ27" s="61"/>
      <c r="DA27" s="84"/>
      <c r="DB27" s="61"/>
      <c r="DC27" s="61"/>
      <c r="DD27" s="61"/>
      <c r="DE27" s="61"/>
      <c r="DF27" s="61"/>
      <c r="DG27" s="61"/>
      <c r="DH27" s="61"/>
      <c r="DI27" s="61"/>
      <c r="DJ27" s="61"/>
      <c r="DK27" s="61"/>
      <c r="DL27" s="61"/>
      <c r="DM27" s="61"/>
      <c r="DN27" s="61"/>
      <c r="DO27" s="61"/>
      <c r="DP27" s="61"/>
      <c r="DQ27" s="80"/>
      <c r="DR27" s="80"/>
      <c r="DS27" s="90"/>
      <c r="DT27" s="69"/>
      <c r="DU27" s="61"/>
      <c r="DV27" s="61"/>
      <c r="DW27" s="61"/>
      <c r="DX27" s="61"/>
      <c r="DY27" s="61"/>
      <c r="DZ27" s="61"/>
      <c r="EA27" s="61"/>
      <c r="EB27" s="61"/>
      <c r="EC27" s="61"/>
      <c r="ED27" s="61"/>
      <c r="EE27" s="61"/>
      <c r="EF27" s="61"/>
      <c r="EG27" s="61"/>
      <c r="EH27" s="61"/>
      <c r="EI27" s="61"/>
      <c r="EJ27" s="61"/>
      <c r="EK27" s="61"/>
      <c r="EL27" s="83"/>
      <c r="EM27" s="61"/>
      <c r="EN27" s="61"/>
      <c r="EO27" s="61"/>
      <c r="EP27" s="61"/>
      <c r="EQ27" s="61"/>
      <c r="ER27" s="61"/>
      <c r="ES27" s="61"/>
      <c r="ET27" s="61"/>
      <c r="EU27" s="61"/>
      <c r="EV27" s="61"/>
      <c r="EW27" s="61"/>
      <c r="EX27" s="61"/>
      <c r="EY27" s="61"/>
      <c r="EZ27" s="61"/>
      <c r="FA27" s="61"/>
      <c r="FB27" s="61"/>
      <c r="FC27" s="61"/>
      <c r="FD27" s="84"/>
      <c r="FE27" s="61"/>
      <c r="FF27" s="61"/>
      <c r="FG27" s="61"/>
      <c r="FH27" s="61"/>
      <c r="FI27" s="61"/>
      <c r="FJ27" s="61"/>
      <c r="FK27" s="61"/>
      <c r="FL27" s="61"/>
      <c r="FM27" s="61"/>
      <c r="FN27" s="61"/>
      <c r="FO27" s="61"/>
      <c r="FP27" s="61"/>
      <c r="FQ27" s="61"/>
      <c r="FR27" s="61"/>
      <c r="FS27" s="61"/>
      <c r="FT27" s="80"/>
      <c r="FU27" s="80"/>
      <c r="FV27" s="90"/>
      <c r="FW27" s="69"/>
      <c r="FX27" s="61"/>
      <c r="FY27" s="61"/>
      <c r="FZ27" s="61"/>
      <c r="GA27" s="61"/>
      <c r="GB27" s="61"/>
      <c r="GC27" s="61"/>
      <c r="GD27" s="61"/>
      <c r="GE27" s="61"/>
      <c r="GF27" s="61"/>
      <c r="GG27" s="61"/>
      <c r="GH27" s="61"/>
      <c r="GI27" s="61"/>
      <c r="GJ27" s="61"/>
      <c r="GK27" s="61"/>
      <c r="GL27" s="61"/>
      <c r="GM27" s="61"/>
      <c r="GN27" s="61"/>
      <c r="GO27" s="83"/>
      <c r="GP27" s="61"/>
      <c r="GQ27" s="61"/>
      <c r="GR27" s="61"/>
      <c r="GS27" s="61"/>
      <c r="GT27" s="61"/>
      <c r="GU27" s="61"/>
      <c r="GV27" s="61"/>
      <c r="GW27" s="61"/>
      <c r="GX27" s="61"/>
      <c r="GY27" s="61"/>
      <c r="GZ27" s="61"/>
      <c r="HA27" s="61"/>
      <c r="HB27" s="61"/>
      <c r="HC27" s="61"/>
      <c r="HD27" s="61"/>
      <c r="HE27" s="61"/>
      <c r="HF27" s="61"/>
      <c r="HG27" s="119"/>
      <c r="HH27" s="61"/>
      <c r="HI27" s="61"/>
      <c r="HJ27" s="61"/>
      <c r="HK27" s="61"/>
      <c r="HL27" s="61"/>
      <c r="HM27" s="61"/>
      <c r="HN27" s="61"/>
      <c r="HO27" s="61"/>
      <c r="HP27" s="61"/>
      <c r="HQ27" s="61"/>
      <c r="HR27" s="61"/>
      <c r="HS27" s="61"/>
      <c r="HT27" s="61"/>
      <c r="HU27" s="61"/>
      <c r="HV27" s="61"/>
      <c r="HW27" s="80"/>
      <c r="HX27" s="80"/>
      <c r="HY27" s="82"/>
      <c r="HZ27" s="61"/>
      <c r="IA27" s="61"/>
    </row>
    <row r="28" spans="1:235" s="26" customFormat="1">
      <c r="A28" s="61"/>
      <c r="B28" s="69"/>
      <c r="C28" s="61"/>
      <c r="D28" s="78"/>
      <c r="E28" s="61"/>
      <c r="F28" s="61"/>
      <c r="G28" s="107"/>
      <c r="H28" s="107"/>
      <c r="I28" s="61"/>
      <c r="J28" s="61"/>
      <c r="K28" s="61"/>
      <c r="L28" s="130"/>
      <c r="M28" s="61"/>
      <c r="N28" s="69"/>
      <c r="O28" s="112"/>
      <c r="P28" s="28"/>
      <c r="Q28" s="28"/>
      <c r="R28" s="61"/>
      <c r="S28" s="107"/>
      <c r="T28" s="107"/>
      <c r="U28" s="61"/>
      <c r="V28" s="61"/>
      <c r="W28" s="61"/>
      <c r="X28" s="61"/>
      <c r="Y28" s="61"/>
      <c r="Z28" s="61"/>
      <c r="AA28" s="61"/>
      <c r="AB28" s="61"/>
      <c r="AC28" s="61"/>
      <c r="AD28" s="61"/>
      <c r="AE28" s="61"/>
      <c r="AF28" s="79"/>
      <c r="AG28" s="61"/>
      <c r="AH28" s="61"/>
      <c r="AI28" s="61"/>
      <c r="AJ28" s="61"/>
      <c r="AK28" s="61"/>
      <c r="AL28" s="61"/>
      <c r="AM28" s="61"/>
      <c r="AN28" s="61"/>
      <c r="AO28" s="61"/>
      <c r="AP28" s="61"/>
      <c r="AQ28" s="61"/>
      <c r="AR28" s="61"/>
      <c r="AS28" s="61"/>
      <c r="AT28" s="61"/>
      <c r="AU28" s="61"/>
      <c r="AV28" s="61"/>
      <c r="AW28" s="61"/>
      <c r="AX28" s="118"/>
      <c r="AY28" s="61"/>
      <c r="AZ28" s="61"/>
      <c r="BA28" s="61"/>
      <c r="BB28" s="61"/>
      <c r="BC28" s="61"/>
      <c r="BD28" s="61"/>
      <c r="BE28" s="61"/>
      <c r="BF28" s="61"/>
      <c r="BG28" s="61"/>
      <c r="BH28" s="61"/>
      <c r="BI28" s="61"/>
      <c r="BJ28" s="61"/>
      <c r="BK28" s="61"/>
      <c r="BL28" s="61"/>
      <c r="BM28" s="61"/>
      <c r="BN28" s="80"/>
      <c r="BO28" s="80"/>
      <c r="BP28" s="82"/>
      <c r="BQ28" s="69"/>
      <c r="BR28" s="61"/>
      <c r="BS28" s="61"/>
      <c r="BT28" s="61"/>
      <c r="BU28" s="61"/>
      <c r="BV28" s="61"/>
      <c r="BW28" s="61"/>
      <c r="BX28" s="61"/>
      <c r="BY28" s="61"/>
      <c r="BZ28" s="61"/>
      <c r="CA28" s="61"/>
      <c r="CB28" s="61"/>
      <c r="CC28" s="61"/>
      <c r="CD28" s="61"/>
      <c r="CE28" s="61"/>
      <c r="CF28" s="61"/>
      <c r="CG28" s="61"/>
      <c r="CH28" s="61"/>
      <c r="CI28" s="83"/>
      <c r="CJ28" s="61"/>
      <c r="CK28" s="61"/>
      <c r="CL28" s="61"/>
      <c r="CM28" s="61"/>
      <c r="CN28" s="61"/>
      <c r="CO28" s="61"/>
      <c r="CP28" s="61"/>
      <c r="CQ28" s="61"/>
      <c r="CR28" s="61"/>
      <c r="CS28" s="61"/>
      <c r="CT28" s="61"/>
      <c r="CU28" s="61"/>
      <c r="CV28" s="61"/>
      <c r="CW28" s="61"/>
      <c r="CX28" s="61"/>
      <c r="CY28" s="61"/>
      <c r="CZ28" s="61"/>
      <c r="DA28" s="84"/>
      <c r="DB28" s="61"/>
      <c r="DC28" s="61"/>
      <c r="DD28" s="61"/>
      <c r="DE28" s="61"/>
      <c r="DF28" s="61"/>
      <c r="DG28" s="61"/>
      <c r="DH28" s="61"/>
      <c r="DI28" s="61"/>
      <c r="DJ28" s="61"/>
      <c r="DK28" s="61"/>
      <c r="DL28" s="61"/>
      <c r="DM28" s="61"/>
      <c r="DN28" s="61"/>
      <c r="DO28" s="61"/>
      <c r="DP28" s="61"/>
      <c r="DQ28" s="80"/>
      <c r="DR28" s="80"/>
      <c r="DS28" s="90"/>
      <c r="DT28" s="69"/>
      <c r="DU28" s="61"/>
      <c r="DV28" s="61"/>
      <c r="DW28" s="61"/>
      <c r="DX28" s="61"/>
      <c r="DY28" s="61"/>
      <c r="DZ28" s="61"/>
      <c r="EA28" s="61"/>
      <c r="EB28" s="61"/>
      <c r="EC28" s="61"/>
      <c r="ED28" s="61"/>
      <c r="EE28" s="61"/>
      <c r="EF28" s="61"/>
      <c r="EG28" s="61"/>
      <c r="EH28" s="61"/>
      <c r="EI28" s="61"/>
      <c r="EJ28" s="61"/>
      <c r="EK28" s="61"/>
      <c r="EL28" s="83"/>
      <c r="EM28" s="61"/>
      <c r="EN28" s="61"/>
      <c r="EO28" s="61"/>
      <c r="EP28" s="61"/>
      <c r="EQ28" s="61"/>
      <c r="ER28" s="61"/>
      <c r="ES28" s="61"/>
      <c r="ET28" s="61"/>
      <c r="EU28" s="61"/>
      <c r="EV28" s="61"/>
      <c r="EW28" s="61"/>
      <c r="EX28" s="61"/>
      <c r="EY28" s="61"/>
      <c r="EZ28" s="61"/>
      <c r="FA28" s="61"/>
      <c r="FB28" s="61"/>
      <c r="FC28" s="61"/>
      <c r="FD28" s="84"/>
      <c r="FE28" s="61"/>
      <c r="FF28" s="61"/>
      <c r="FG28" s="61"/>
      <c r="FH28" s="61"/>
      <c r="FI28" s="61"/>
      <c r="FJ28" s="61"/>
      <c r="FK28" s="61"/>
      <c r="FL28" s="61"/>
      <c r="FM28" s="61"/>
      <c r="FN28" s="61"/>
      <c r="FO28" s="61"/>
      <c r="FP28" s="61"/>
      <c r="FQ28" s="61"/>
      <c r="FR28" s="61"/>
      <c r="FS28" s="61"/>
      <c r="FT28" s="80"/>
      <c r="FU28" s="80"/>
      <c r="FV28" s="90"/>
      <c r="FW28" s="69"/>
      <c r="FX28" s="61"/>
      <c r="FY28" s="61"/>
      <c r="FZ28" s="61"/>
      <c r="GA28" s="61"/>
      <c r="GB28" s="61"/>
      <c r="GC28" s="61"/>
      <c r="GD28" s="61"/>
      <c r="GE28" s="61"/>
      <c r="GF28" s="61"/>
      <c r="GG28" s="61"/>
      <c r="GH28" s="61"/>
      <c r="GI28" s="61"/>
      <c r="GJ28" s="61"/>
      <c r="GK28" s="61"/>
      <c r="GL28" s="61"/>
      <c r="GM28" s="61"/>
      <c r="GN28" s="61"/>
      <c r="GO28" s="83"/>
      <c r="GP28" s="61"/>
      <c r="GQ28" s="61"/>
      <c r="GR28" s="61"/>
      <c r="GS28" s="61"/>
      <c r="GT28" s="61"/>
      <c r="GU28" s="61"/>
      <c r="GV28" s="61"/>
      <c r="GW28" s="61"/>
      <c r="GX28" s="61"/>
      <c r="GY28" s="61"/>
      <c r="GZ28" s="61"/>
      <c r="HA28" s="61"/>
      <c r="HB28" s="61"/>
      <c r="HC28" s="61"/>
      <c r="HD28" s="61"/>
      <c r="HE28" s="61"/>
      <c r="HF28" s="61"/>
      <c r="HG28" s="119"/>
      <c r="HH28" s="61"/>
      <c r="HI28" s="61"/>
      <c r="HJ28" s="61"/>
      <c r="HK28" s="61"/>
      <c r="HL28" s="61"/>
      <c r="HM28" s="61"/>
      <c r="HN28" s="61"/>
      <c r="HO28" s="61"/>
      <c r="HP28" s="61"/>
      <c r="HQ28" s="61"/>
      <c r="HR28" s="61"/>
      <c r="HS28" s="61"/>
      <c r="HT28" s="61"/>
      <c r="HU28" s="61"/>
      <c r="HV28" s="61"/>
      <c r="HW28" s="80"/>
      <c r="HX28" s="80"/>
      <c r="HY28" s="82"/>
      <c r="HZ28" s="61"/>
      <c r="IA28" s="61"/>
    </row>
    <row r="29" spans="1:235" s="26" customFormat="1">
      <c r="A29" s="61"/>
      <c r="B29" s="69"/>
      <c r="C29" s="61"/>
      <c r="D29" s="78"/>
      <c r="E29" s="61"/>
      <c r="F29" s="61"/>
      <c r="G29" s="61"/>
      <c r="H29" s="61"/>
      <c r="I29" s="61"/>
      <c r="J29" s="61"/>
      <c r="K29" s="61"/>
      <c r="L29" s="130"/>
      <c r="M29" s="61"/>
      <c r="N29" s="69"/>
      <c r="O29" s="112"/>
      <c r="P29" s="28"/>
      <c r="Q29" s="28"/>
      <c r="R29" s="61"/>
      <c r="S29" s="107"/>
      <c r="T29" s="107"/>
      <c r="U29" s="61"/>
      <c r="V29" s="61"/>
      <c r="W29" s="61"/>
      <c r="X29" s="61"/>
      <c r="Y29" s="61"/>
      <c r="Z29" s="61"/>
      <c r="AA29" s="61"/>
      <c r="AB29" s="61"/>
      <c r="AC29" s="61"/>
      <c r="AD29" s="61"/>
      <c r="AE29" s="61"/>
      <c r="AF29" s="79"/>
      <c r="AG29" s="61"/>
      <c r="AH29" s="61"/>
      <c r="AI29" s="61"/>
      <c r="AJ29" s="61"/>
      <c r="AK29" s="61"/>
      <c r="AL29" s="61"/>
      <c r="AM29" s="61"/>
      <c r="AN29" s="61"/>
      <c r="AO29" s="61"/>
      <c r="AP29" s="61"/>
      <c r="AQ29" s="61"/>
      <c r="AR29" s="61"/>
      <c r="AS29" s="61"/>
      <c r="AT29" s="61"/>
      <c r="AU29" s="61"/>
      <c r="AV29" s="61"/>
      <c r="AW29" s="61"/>
      <c r="AX29" s="118"/>
      <c r="AY29" s="61"/>
      <c r="AZ29" s="61"/>
      <c r="BA29" s="61"/>
      <c r="BB29" s="61"/>
      <c r="BC29" s="61"/>
      <c r="BD29" s="61"/>
      <c r="BE29" s="61"/>
      <c r="BF29" s="61"/>
      <c r="BG29" s="61"/>
      <c r="BH29" s="61"/>
      <c r="BI29" s="61"/>
      <c r="BJ29" s="61"/>
      <c r="BK29" s="61"/>
      <c r="BL29" s="61"/>
      <c r="BM29" s="61"/>
      <c r="BN29" s="80"/>
      <c r="BO29" s="80"/>
      <c r="BP29" s="90"/>
      <c r="BQ29" s="69"/>
      <c r="BR29" s="61"/>
      <c r="BS29" s="61"/>
      <c r="BT29" s="61"/>
      <c r="BU29" s="61"/>
      <c r="BV29" s="61"/>
      <c r="BW29" s="61"/>
      <c r="BX29" s="61"/>
      <c r="BY29" s="61"/>
      <c r="BZ29" s="61"/>
      <c r="CA29" s="61"/>
      <c r="CB29" s="61"/>
      <c r="CC29" s="61"/>
      <c r="CD29" s="61"/>
      <c r="CE29" s="61"/>
      <c r="CF29" s="61"/>
      <c r="CG29" s="61"/>
      <c r="CH29" s="61"/>
      <c r="CI29" s="83"/>
      <c r="CJ29" s="61"/>
      <c r="CK29" s="61"/>
      <c r="CL29" s="61"/>
      <c r="CM29" s="61"/>
      <c r="CN29" s="61"/>
      <c r="CO29" s="61"/>
      <c r="CP29" s="61"/>
      <c r="CQ29" s="61"/>
      <c r="CR29" s="61"/>
      <c r="CS29" s="61"/>
      <c r="CT29" s="61"/>
      <c r="CU29" s="61"/>
      <c r="CV29" s="61"/>
      <c r="CW29" s="61"/>
      <c r="CX29" s="61"/>
      <c r="CY29" s="61"/>
      <c r="CZ29" s="61"/>
      <c r="DA29" s="84"/>
      <c r="DB29" s="61"/>
      <c r="DC29" s="61"/>
      <c r="DD29" s="61"/>
      <c r="DE29" s="61"/>
      <c r="DF29" s="61"/>
      <c r="DG29" s="61"/>
      <c r="DH29" s="61"/>
      <c r="DI29" s="61"/>
      <c r="DJ29" s="61"/>
      <c r="DK29" s="61"/>
      <c r="DL29" s="61"/>
      <c r="DM29" s="61"/>
      <c r="DN29" s="61"/>
      <c r="DO29" s="61"/>
      <c r="DP29" s="61"/>
      <c r="DQ29" s="80"/>
      <c r="DR29" s="80"/>
      <c r="DS29" s="90"/>
      <c r="DT29" s="69"/>
      <c r="DU29" s="61"/>
      <c r="DV29" s="61"/>
      <c r="DW29" s="61"/>
      <c r="DX29" s="61"/>
      <c r="DY29" s="61"/>
      <c r="DZ29" s="61"/>
      <c r="EA29" s="61"/>
      <c r="EB29" s="61"/>
      <c r="EC29" s="61"/>
      <c r="ED29" s="61"/>
      <c r="EE29" s="61"/>
      <c r="EF29" s="61"/>
      <c r="EG29" s="61"/>
      <c r="EH29" s="61"/>
      <c r="EI29" s="61"/>
      <c r="EJ29" s="61"/>
      <c r="EK29" s="61"/>
      <c r="EL29" s="83"/>
      <c r="EM29" s="61"/>
      <c r="EN29" s="61"/>
      <c r="EO29" s="61"/>
      <c r="EP29" s="61"/>
      <c r="EQ29" s="61"/>
      <c r="ER29" s="61"/>
      <c r="ES29" s="61"/>
      <c r="ET29" s="61"/>
      <c r="EU29" s="61"/>
      <c r="EV29" s="61"/>
      <c r="EW29" s="61"/>
      <c r="EX29" s="61"/>
      <c r="EY29" s="61"/>
      <c r="EZ29" s="61"/>
      <c r="FA29" s="61"/>
      <c r="FB29" s="61"/>
      <c r="FC29" s="61"/>
      <c r="FD29" s="84"/>
      <c r="FE29" s="61"/>
      <c r="FF29" s="61"/>
      <c r="FG29" s="61"/>
      <c r="FH29" s="61"/>
      <c r="FI29" s="61"/>
      <c r="FJ29" s="61"/>
      <c r="FK29" s="61"/>
      <c r="FL29" s="61"/>
      <c r="FM29" s="61"/>
      <c r="FN29" s="61"/>
      <c r="FO29" s="61"/>
      <c r="FP29" s="61"/>
      <c r="FQ29" s="61"/>
      <c r="FR29" s="61"/>
      <c r="FS29" s="61"/>
      <c r="FT29" s="80"/>
      <c r="FU29" s="80"/>
      <c r="FV29" s="90"/>
      <c r="FW29" s="69"/>
      <c r="FX29" s="61"/>
      <c r="FY29" s="61"/>
      <c r="FZ29" s="61"/>
      <c r="GA29" s="61"/>
      <c r="GB29" s="61"/>
      <c r="GC29" s="61"/>
      <c r="GD29" s="61"/>
      <c r="GE29" s="61"/>
      <c r="GF29" s="61"/>
      <c r="GG29" s="61"/>
      <c r="GH29" s="61"/>
      <c r="GI29" s="61"/>
      <c r="GJ29" s="61"/>
      <c r="GK29" s="61"/>
      <c r="GL29" s="61"/>
      <c r="GM29" s="61"/>
      <c r="GN29" s="61"/>
      <c r="GO29" s="83"/>
      <c r="GP29" s="61"/>
      <c r="GQ29" s="61"/>
      <c r="GR29" s="61"/>
      <c r="GS29" s="61"/>
      <c r="GT29" s="61"/>
      <c r="GU29" s="61"/>
      <c r="GV29" s="61"/>
      <c r="GW29" s="61"/>
      <c r="GX29" s="61"/>
      <c r="GY29" s="61"/>
      <c r="GZ29" s="61"/>
      <c r="HA29" s="61"/>
      <c r="HB29" s="61"/>
      <c r="HC29" s="61"/>
      <c r="HD29" s="61"/>
      <c r="HE29" s="61"/>
      <c r="HF29" s="61"/>
      <c r="HG29" s="119"/>
      <c r="HH29" s="61"/>
      <c r="HI29" s="61"/>
      <c r="HJ29" s="61"/>
      <c r="HK29" s="61"/>
      <c r="HL29" s="61"/>
      <c r="HM29" s="61"/>
      <c r="HN29" s="61"/>
      <c r="HO29" s="61"/>
      <c r="HP29" s="61"/>
      <c r="HQ29" s="61"/>
      <c r="HR29" s="61"/>
      <c r="HS29" s="61"/>
      <c r="HT29" s="61"/>
      <c r="HU29" s="61"/>
      <c r="HV29" s="61"/>
      <c r="HW29" s="80"/>
      <c r="HX29" s="80"/>
      <c r="HY29" s="82"/>
      <c r="HZ29" s="61"/>
      <c r="IA29" s="61"/>
    </row>
    <row r="30" spans="1:235" s="26" customFormat="1">
      <c r="A30" s="61"/>
      <c r="B30" s="69"/>
      <c r="C30" s="61"/>
      <c r="D30" s="78"/>
      <c r="E30" s="61"/>
      <c r="F30" s="61"/>
      <c r="G30" s="61"/>
      <c r="H30" s="61"/>
      <c r="I30" s="61"/>
      <c r="J30" s="61"/>
      <c r="K30" s="61"/>
      <c r="L30" s="130"/>
      <c r="M30" s="61"/>
      <c r="N30" s="69"/>
      <c r="O30" s="112"/>
      <c r="P30" s="28"/>
      <c r="Q30" s="28"/>
      <c r="R30" s="61"/>
      <c r="S30" s="107"/>
      <c r="T30" s="107"/>
      <c r="U30" s="61"/>
      <c r="V30" s="61"/>
      <c r="W30" s="61"/>
      <c r="X30" s="61"/>
      <c r="Y30" s="61"/>
      <c r="Z30" s="61"/>
      <c r="AA30" s="61"/>
      <c r="AB30" s="61"/>
      <c r="AC30" s="61"/>
      <c r="AD30" s="61"/>
      <c r="AE30" s="61"/>
      <c r="AF30" s="79"/>
      <c r="AG30" s="61"/>
      <c r="AH30" s="61"/>
      <c r="AI30" s="61"/>
      <c r="AJ30" s="61"/>
      <c r="AK30" s="61"/>
      <c r="AL30" s="61"/>
      <c r="AM30" s="61"/>
      <c r="AN30" s="61"/>
      <c r="AO30" s="61"/>
      <c r="AP30" s="61"/>
      <c r="AQ30" s="61"/>
      <c r="AR30" s="61"/>
      <c r="AS30" s="61"/>
      <c r="AT30" s="61"/>
      <c r="AU30" s="61"/>
      <c r="AV30" s="61"/>
      <c r="AW30" s="61"/>
      <c r="AX30" s="118"/>
      <c r="AY30" s="61"/>
      <c r="AZ30" s="61"/>
      <c r="BA30" s="61"/>
      <c r="BB30" s="61"/>
      <c r="BC30" s="61"/>
      <c r="BD30" s="61"/>
      <c r="BE30" s="61"/>
      <c r="BF30" s="61"/>
      <c r="BG30" s="61"/>
      <c r="BH30" s="61"/>
      <c r="BI30" s="61"/>
      <c r="BJ30" s="61"/>
      <c r="BK30" s="61"/>
      <c r="BL30" s="61"/>
      <c r="BM30" s="61"/>
      <c r="BN30" s="80"/>
      <c r="BO30" s="80"/>
      <c r="BP30" s="82"/>
      <c r="BQ30" s="69"/>
      <c r="BR30" s="61"/>
      <c r="BS30" s="61"/>
      <c r="BT30" s="61"/>
      <c r="BU30" s="61"/>
      <c r="BV30" s="61"/>
      <c r="BW30" s="61"/>
      <c r="BX30" s="61"/>
      <c r="BY30" s="61"/>
      <c r="BZ30" s="61"/>
      <c r="CA30" s="61"/>
      <c r="CB30" s="61"/>
      <c r="CC30" s="61"/>
      <c r="CD30" s="61"/>
      <c r="CE30" s="61"/>
      <c r="CF30" s="61"/>
      <c r="CG30" s="61"/>
      <c r="CH30" s="61"/>
      <c r="CI30" s="83"/>
      <c r="CJ30" s="61"/>
      <c r="CK30" s="61"/>
      <c r="CL30" s="61"/>
      <c r="CM30" s="61"/>
      <c r="CN30" s="61"/>
      <c r="CO30" s="61"/>
      <c r="CP30" s="61"/>
      <c r="CQ30" s="61"/>
      <c r="CR30" s="61"/>
      <c r="CS30" s="61"/>
      <c r="CT30" s="61"/>
      <c r="CU30" s="61"/>
      <c r="CV30" s="61"/>
      <c r="CW30" s="61"/>
      <c r="CX30" s="61"/>
      <c r="CY30" s="61"/>
      <c r="CZ30" s="61"/>
      <c r="DA30" s="84"/>
      <c r="DB30" s="61"/>
      <c r="DC30" s="61"/>
      <c r="DD30" s="61"/>
      <c r="DE30" s="61"/>
      <c r="DF30" s="61"/>
      <c r="DG30" s="61"/>
      <c r="DH30" s="61"/>
      <c r="DI30" s="61"/>
      <c r="DJ30" s="61"/>
      <c r="DK30" s="61"/>
      <c r="DL30" s="61"/>
      <c r="DM30" s="61"/>
      <c r="DN30" s="61"/>
      <c r="DO30" s="61"/>
      <c r="DP30" s="61"/>
      <c r="DQ30" s="80"/>
      <c r="DR30" s="80"/>
      <c r="DS30" s="90"/>
      <c r="DT30" s="69"/>
      <c r="DU30" s="61"/>
      <c r="DV30" s="61"/>
      <c r="DW30" s="61"/>
      <c r="DX30" s="61"/>
      <c r="DY30" s="61"/>
      <c r="DZ30" s="61"/>
      <c r="EA30" s="61"/>
      <c r="EB30" s="61"/>
      <c r="EC30" s="61"/>
      <c r="ED30" s="61"/>
      <c r="EE30" s="61"/>
      <c r="EF30" s="61"/>
      <c r="EG30" s="61"/>
      <c r="EH30" s="61"/>
      <c r="EI30" s="61"/>
      <c r="EJ30" s="61"/>
      <c r="EK30" s="61"/>
      <c r="EL30" s="83"/>
      <c r="EM30" s="61"/>
      <c r="EN30" s="61"/>
      <c r="EO30" s="61"/>
      <c r="EP30" s="61"/>
      <c r="EQ30" s="61"/>
      <c r="ER30" s="61"/>
      <c r="ES30" s="61"/>
      <c r="ET30" s="61"/>
      <c r="EU30" s="61"/>
      <c r="EV30" s="61"/>
      <c r="EW30" s="61"/>
      <c r="EX30" s="61"/>
      <c r="EY30" s="61"/>
      <c r="EZ30" s="61"/>
      <c r="FA30" s="61"/>
      <c r="FB30" s="61"/>
      <c r="FC30" s="61"/>
      <c r="FD30" s="84"/>
      <c r="FE30" s="61"/>
      <c r="FF30" s="61"/>
      <c r="FG30" s="61"/>
      <c r="FH30" s="61"/>
      <c r="FI30" s="61"/>
      <c r="FJ30" s="61"/>
      <c r="FK30" s="61"/>
      <c r="FL30" s="61"/>
      <c r="FM30" s="61"/>
      <c r="FN30" s="61"/>
      <c r="FO30" s="61"/>
      <c r="FP30" s="61"/>
      <c r="FQ30" s="61"/>
      <c r="FR30" s="61"/>
      <c r="FS30" s="61"/>
      <c r="FT30" s="80"/>
      <c r="FU30" s="80"/>
      <c r="FV30" s="90"/>
      <c r="FW30" s="69"/>
      <c r="FX30" s="61"/>
      <c r="FY30" s="61"/>
      <c r="FZ30" s="61"/>
      <c r="GA30" s="61"/>
      <c r="GB30" s="61"/>
      <c r="GC30" s="61"/>
      <c r="GD30" s="61"/>
      <c r="GE30" s="61"/>
      <c r="GF30" s="61"/>
      <c r="GG30" s="61"/>
      <c r="GH30" s="61"/>
      <c r="GI30" s="61"/>
      <c r="GJ30" s="61"/>
      <c r="GK30" s="61"/>
      <c r="GL30" s="61"/>
      <c r="GM30" s="61"/>
      <c r="GN30" s="61"/>
      <c r="GO30" s="83"/>
      <c r="GP30" s="61"/>
      <c r="GQ30" s="61"/>
      <c r="GR30" s="61"/>
      <c r="GS30" s="61"/>
      <c r="GT30" s="61"/>
      <c r="GU30" s="61"/>
      <c r="GV30" s="61"/>
      <c r="GW30" s="61"/>
      <c r="GX30" s="61"/>
      <c r="GY30" s="61"/>
      <c r="GZ30" s="61"/>
      <c r="HA30" s="61"/>
      <c r="HB30" s="61"/>
      <c r="HC30" s="61"/>
      <c r="HD30" s="61"/>
      <c r="HE30" s="61"/>
      <c r="HF30" s="61"/>
      <c r="HG30" s="119"/>
      <c r="HH30" s="61"/>
      <c r="HI30" s="61"/>
      <c r="HJ30" s="61"/>
      <c r="HK30" s="61"/>
      <c r="HL30" s="61"/>
      <c r="HM30" s="61"/>
      <c r="HN30" s="61"/>
      <c r="HO30" s="61"/>
      <c r="HP30" s="61"/>
      <c r="HQ30" s="61"/>
      <c r="HR30" s="61"/>
      <c r="HS30" s="61"/>
      <c r="HT30" s="61"/>
      <c r="HU30" s="61"/>
      <c r="HV30" s="61"/>
      <c r="HW30" s="80"/>
      <c r="HX30" s="80"/>
      <c r="HY30" s="82"/>
      <c r="HZ30" s="61"/>
      <c r="IA30" s="61"/>
    </row>
    <row r="31" spans="1:235" s="26" customFormat="1">
      <c r="A31" s="61"/>
      <c r="B31" s="69"/>
      <c r="C31" s="61"/>
      <c r="D31" s="78"/>
      <c r="E31" s="61"/>
      <c r="F31" s="61"/>
      <c r="G31" s="61"/>
      <c r="H31" s="61"/>
      <c r="I31" s="61"/>
      <c r="J31" s="61"/>
      <c r="K31" s="61"/>
      <c r="L31" s="130"/>
      <c r="M31" s="61"/>
      <c r="N31" s="69"/>
      <c r="O31" s="112"/>
      <c r="P31" s="54"/>
      <c r="Q31" s="61"/>
      <c r="R31" s="61"/>
      <c r="S31" s="107"/>
      <c r="T31" s="107"/>
      <c r="U31" s="61"/>
      <c r="V31" s="61"/>
      <c r="W31" s="61"/>
      <c r="X31" s="61"/>
      <c r="Y31" s="61"/>
      <c r="Z31" s="61"/>
      <c r="AA31" s="61"/>
      <c r="AB31" s="61"/>
      <c r="AC31" s="61"/>
      <c r="AD31" s="61"/>
      <c r="AE31" s="61"/>
      <c r="AF31" s="79"/>
      <c r="AG31" s="61"/>
      <c r="AH31" s="61"/>
      <c r="AI31" s="61"/>
      <c r="AJ31" s="61"/>
      <c r="AK31" s="61"/>
      <c r="AL31" s="61"/>
      <c r="AM31" s="61"/>
      <c r="AN31" s="61"/>
      <c r="AO31" s="61"/>
      <c r="AP31" s="61"/>
      <c r="AQ31" s="61"/>
      <c r="AR31" s="61"/>
      <c r="AS31" s="61"/>
      <c r="AT31" s="61"/>
      <c r="AU31" s="61"/>
      <c r="AV31" s="61"/>
      <c r="AW31" s="61"/>
      <c r="AX31" s="118"/>
      <c r="AY31" s="61"/>
      <c r="AZ31" s="61"/>
      <c r="BA31" s="61"/>
      <c r="BB31" s="61"/>
      <c r="BC31" s="61"/>
      <c r="BD31" s="61"/>
      <c r="BE31" s="61"/>
      <c r="BF31" s="61"/>
      <c r="BG31" s="61"/>
      <c r="BH31" s="61"/>
      <c r="BI31" s="61"/>
      <c r="BJ31" s="61"/>
      <c r="BK31" s="61"/>
      <c r="BL31" s="61"/>
      <c r="BM31" s="61"/>
      <c r="BN31" s="80"/>
      <c r="BO31" s="80"/>
      <c r="BP31" s="90"/>
      <c r="BQ31" s="69"/>
      <c r="BR31" s="61"/>
      <c r="BS31" s="61"/>
      <c r="BT31" s="61"/>
      <c r="BU31" s="61"/>
      <c r="BV31" s="61"/>
      <c r="BW31" s="61"/>
      <c r="BX31" s="61"/>
      <c r="BY31" s="61"/>
      <c r="BZ31" s="61"/>
      <c r="CA31" s="61"/>
      <c r="CB31" s="61"/>
      <c r="CC31" s="61"/>
      <c r="CD31" s="61"/>
      <c r="CE31" s="61"/>
      <c r="CF31" s="61"/>
      <c r="CG31" s="61"/>
      <c r="CH31" s="61"/>
      <c r="CI31" s="83"/>
      <c r="CJ31" s="61"/>
      <c r="CK31" s="61"/>
      <c r="CL31" s="61"/>
      <c r="CM31" s="61"/>
      <c r="CN31" s="61"/>
      <c r="CO31" s="61"/>
      <c r="CP31" s="61"/>
      <c r="CQ31" s="61"/>
      <c r="CR31" s="61"/>
      <c r="CS31" s="61"/>
      <c r="CT31" s="61"/>
      <c r="CU31" s="61"/>
      <c r="CV31" s="61"/>
      <c r="CW31" s="61"/>
      <c r="CX31" s="61"/>
      <c r="CY31" s="61"/>
      <c r="CZ31" s="61"/>
      <c r="DA31" s="84"/>
      <c r="DB31" s="61"/>
      <c r="DC31" s="61"/>
      <c r="DD31" s="61"/>
      <c r="DE31" s="61"/>
      <c r="DF31" s="61"/>
      <c r="DG31" s="61"/>
      <c r="DH31" s="61"/>
      <c r="DI31" s="61"/>
      <c r="DJ31" s="61"/>
      <c r="DK31" s="61"/>
      <c r="DL31" s="61"/>
      <c r="DM31" s="61"/>
      <c r="DN31" s="61"/>
      <c r="DO31" s="61"/>
      <c r="DP31" s="61"/>
      <c r="DQ31" s="80"/>
      <c r="DR31" s="80"/>
      <c r="DS31" s="90"/>
      <c r="DT31" s="69"/>
      <c r="DU31" s="61"/>
      <c r="DV31" s="61"/>
      <c r="DW31" s="61"/>
      <c r="DX31" s="61"/>
      <c r="DY31" s="61"/>
      <c r="DZ31" s="61"/>
      <c r="EA31" s="61"/>
      <c r="EB31" s="61"/>
      <c r="EC31" s="61"/>
      <c r="ED31" s="61"/>
      <c r="EE31" s="61"/>
      <c r="EF31" s="61"/>
      <c r="EG31" s="61"/>
      <c r="EH31" s="61"/>
      <c r="EI31" s="61"/>
      <c r="EJ31" s="61"/>
      <c r="EK31" s="61"/>
      <c r="EL31" s="83"/>
      <c r="EM31" s="61"/>
      <c r="EN31" s="61"/>
      <c r="EO31" s="61"/>
      <c r="EP31" s="61"/>
      <c r="EQ31" s="61"/>
      <c r="ER31" s="61"/>
      <c r="ES31" s="61"/>
      <c r="ET31" s="61"/>
      <c r="EU31" s="61"/>
      <c r="EV31" s="61"/>
      <c r="EW31" s="61"/>
      <c r="EX31" s="61"/>
      <c r="EY31" s="61"/>
      <c r="EZ31" s="61"/>
      <c r="FA31" s="61"/>
      <c r="FB31" s="61"/>
      <c r="FC31" s="61"/>
      <c r="FD31" s="84"/>
      <c r="FE31" s="61"/>
      <c r="FF31" s="61"/>
      <c r="FG31" s="61"/>
      <c r="FH31" s="61"/>
      <c r="FI31" s="61"/>
      <c r="FJ31" s="61"/>
      <c r="FK31" s="61"/>
      <c r="FL31" s="61"/>
      <c r="FM31" s="61"/>
      <c r="FN31" s="61"/>
      <c r="FO31" s="61"/>
      <c r="FP31" s="61"/>
      <c r="FQ31" s="61"/>
      <c r="FR31" s="61"/>
      <c r="FS31" s="61"/>
      <c r="FT31" s="80"/>
      <c r="FU31" s="80"/>
      <c r="FV31" s="90"/>
      <c r="FW31" s="69"/>
      <c r="FX31" s="61"/>
      <c r="FY31" s="61"/>
      <c r="FZ31" s="61"/>
      <c r="GA31" s="61"/>
      <c r="GB31" s="61"/>
      <c r="GC31" s="61"/>
      <c r="GD31" s="61"/>
      <c r="GE31" s="61"/>
      <c r="GF31" s="61"/>
      <c r="GG31" s="61"/>
      <c r="GH31" s="61"/>
      <c r="GI31" s="61"/>
      <c r="GJ31" s="61"/>
      <c r="GK31" s="61"/>
      <c r="GL31" s="61"/>
      <c r="GM31" s="61"/>
      <c r="GN31" s="61"/>
      <c r="GO31" s="83"/>
      <c r="GP31" s="61"/>
      <c r="GQ31" s="61"/>
      <c r="GR31" s="61"/>
      <c r="GS31" s="61"/>
      <c r="GT31" s="61"/>
      <c r="GU31" s="61"/>
      <c r="GV31" s="61"/>
      <c r="GW31" s="61"/>
      <c r="GX31" s="61"/>
      <c r="GY31" s="61"/>
      <c r="GZ31" s="61"/>
      <c r="HA31" s="61"/>
      <c r="HB31" s="61"/>
      <c r="HC31" s="61"/>
      <c r="HD31" s="61"/>
      <c r="HE31" s="61"/>
      <c r="HF31" s="61"/>
      <c r="HG31" s="119"/>
      <c r="HH31" s="61"/>
      <c r="HI31" s="61"/>
      <c r="HJ31" s="61"/>
      <c r="HK31" s="61"/>
      <c r="HL31" s="61"/>
      <c r="HM31" s="61"/>
      <c r="HN31" s="61"/>
      <c r="HO31" s="61"/>
      <c r="HP31" s="61"/>
      <c r="HQ31" s="61"/>
      <c r="HR31" s="61"/>
      <c r="HS31" s="61"/>
      <c r="HT31" s="61"/>
      <c r="HU31" s="61"/>
      <c r="HV31" s="61"/>
      <c r="HW31" s="80"/>
      <c r="HX31" s="80"/>
      <c r="HY31" s="82"/>
      <c r="HZ31" s="61"/>
      <c r="IA31" s="61"/>
    </row>
    <row r="32" spans="1:235" s="26" customFormat="1">
      <c r="A32" s="61"/>
      <c r="B32" s="69"/>
      <c r="C32" s="61"/>
      <c r="D32" s="78"/>
      <c r="E32" s="61"/>
      <c r="F32" s="61"/>
      <c r="G32" s="61"/>
      <c r="H32" s="61"/>
      <c r="I32" s="61"/>
      <c r="J32" s="61"/>
      <c r="K32" s="61"/>
      <c r="L32" s="130"/>
      <c r="M32" s="61"/>
      <c r="N32" s="69"/>
      <c r="O32" s="112"/>
      <c r="P32" s="61"/>
      <c r="Q32" s="61"/>
      <c r="R32" s="61"/>
      <c r="S32" s="107"/>
      <c r="T32" s="107"/>
      <c r="U32" s="61"/>
      <c r="V32" s="61"/>
      <c r="W32" s="61"/>
      <c r="X32" s="61"/>
      <c r="Y32" s="61"/>
      <c r="Z32" s="61"/>
      <c r="AA32" s="61"/>
      <c r="AB32" s="61"/>
      <c r="AC32" s="61"/>
      <c r="AD32" s="61"/>
      <c r="AE32" s="61"/>
      <c r="AF32" s="79"/>
      <c r="AG32" s="61"/>
      <c r="AH32" s="61"/>
      <c r="AI32" s="61"/>
      <c r="AJ32" s="61"/>
      <c r="AK32" s="61"/>
      <c r="AL32" s="61"/>
      <c r="AM32" s="61"/>
      <c r="AN32" s="61"/>
      <c r="AO32" s="61"/>
      <c r="AP32" s="61"/>
      <c r="AQ32" s="61"/>
      <c r="AR32" s="61"/>
      <c r="AS32" s="61"/>
      <c r="AT32" s="61"/>
      <c r="AU32" s="61"/>
      <c r="AV32" s="61"/>
      <c r="AW32" s="61"/>
      <c r="AX32" s="118"/>
      <c r="AY32" s="61"/>
      <c r="AZ32" s="61"/>
      <c r="BA32" s="61"/>
      <c r="BB32" s="61"/>
      <c r="BC32" s="61"/>
      <c r="BD32" s="61"/>
      <c r="BE32" s="61"/>
      <c r="BF32" s="61"/>
      <c r="BG32" s="61"/>
      <c r="BH32" s="61"/>
      <c r="BI32" s="61"/>
      <c r="BJ32" s="61"/>
      <c r="BK32" s="61"/>
      <c r="BL32" s="61"/>
      <c r="BM32" s="61"/>
      <c r="BN32" s="80"/>
      <c r="BO32" s="80"/>
      <c r="BP32" s="90"/>
      <c r="BQ32" s="69"/>
      <c r="BR32" s="61"/>
      <c r="BS32" s="61"/>
      <c r="BT32" s="61"/>
      <c r="BU32" s="61"/>
      <c r="BV32" s="61"/>
      <c r="BW32" s="61"/>
      <c r="BX32" s="61"/>
      <c r="BY32" s="61"/>
      <c r="BZ32" s="61"/>
      <c r="CA32" s="61"/>
      <c r="CB32" s="61"/>
      <c r="CC32" s="61"/>
      <c r="CD32" s="61"/>
      <c r="CE32" s="61"/>
      <c r="CF32" s="61"/>
      <c r="CG32" s="61"/>
      <c r="CH32" s="61"/>
      <c r="CI32" s="83"/>
      <c r="CJ32" s="61"/>
      <c r="CK32" s="61"/>
      <c r="CL32" s="61"/>
      <c r="CM32" s="61"/>
      <c r="CN32" s="61"/>
      <c r="CO32" s="61"/>
      <c r="CP32" s="61"/>
      <c r="CQ32" s="61"/>
      <c r="CR32" s="61"/>
      <c r="CS32" s="61"/>
      <c r="CT32" s="61"/>
      <c r="CU32" s="61"/>
      <c r="CV32" s="61"/>
      <c r="CW32" s="61"/>
      <c r="CX32" s="61"/>
      <c r="CY32" s="61"/>
      <c r="CZ32" s="61"/>
      <c r="DA32" s="84"/>
      <c r="DB32" s="61"/>
      <c r="DC32" s="61"/>
      <c r="DD32" s="61"/>
      <c r="DE32" s="61"/>
      <c r="DF32" s="61"/>
      <c r="DG32" s="61"/>
      <c r="DH32" s="61"/>
      <c r="DI32" s="61"/>
      <c r="DJ32" s="61"/>
      <c r="DK32" s="61"/>
      <c r="DL32" s="61"/>
      <c r="DM32" s="61"/>
      <c r="DN32" s="61"/>
      <c r="DO32" s="61"/>
      <c r="DP32" s="61"/>
      <c r="DQ32" s="80"/>
      <c r="DR32" s="80"/>
      <c r="DS32" s="90"/>
      <c r="DT32" s="69"/>
      <c r="DU32" s="61"/>
      <c r="DV32" s="61"/>
      <c r="DW32" s="61"/>
      <c r="DX32" s="61"/>
      <c r="DY32" s="61"/>
      <c r="DZ32" s="61"/>
      <c r="EA32" s="61"/>
      <c r="EB32" s="61"/>
      <c r="EC32" s="61"/>
      <c r="ED32" s="61"/>
      <c r="EE32" s="61"/>
      <c r="EF32" s="61"/>
      <c r="EG32" s="61"/>
      <c r="EH32" s="61"/>
      <c r="EI32" s="61"/>
      <c r="EJ32" s="61"/>
      <c r="EK32" s="61"/>
      <c r="EL32" s="83"/>
      <c r="EM32" s="61"/>
      <c r="EN32" s="61"/>
      <c r="EO32" s="61"/>
      <c r="EP32" s="61"/>
      <c r="EQ32" s="61"/>
      <c r="ER32" s="61"/>
      <c r="ES32" s="61"/>
      <c r="ET32" s="61"/>
      <c r="EU32" s="61"/>
      <c r="EV32" s="61"/>
      <c r="EW32" s="61"/>
      <c r="EX32" s="61"/>
      <c r="EY32" s="61"/>
      <c r="EZ32" s="61"/>
      <c r="FA32" s="61"/>
      <c r="FB32" s="61"/>
      <c r="FC32" s="61"/>
      <c r="FD32" s="84"/>
      <c r="FE32" s="61"/>
      <c r="FF32" s="61"/>
      <c r="FG32" s="61"/>
      <c r="FH32" s="61"/>
      <c r="FI32" s="61"/>
      <c r="FJ32" s="61"/>
      <c r="FK32" s="61"/>
      <c r="FL32" s="61"/>
      <c r="FM32" s="61"/>
      <c r="FN32" s="61"/>
      <c r="FO32" s="61"/>
      <c r="FP32" s="61"/>
      <c r="FQ32" s="61"/>
      <c r="FR32" s="61"/>
      <c r="FS32" s="61"/>
      <c r="FT32" s="80"/>
      <c r="FU32" s="80"/>
      <c r="FV32" s="90"/>
      <c r="FW32" s="69"/>
      <c r="FX32" s="61"/>
      <c r="FY32" s="61"/>
      <c r="FZ32" s="61"/>
      <c r="GA32" s="61"/>
      <c r="GB32" s="61"/>
      <c r="GC32" s="61"/>
      <c r="GD32" s="61"/>
      <c r="GE32" s="61"/>
      <c r="GF32" s="61"/>
      <c r="GG32" s="61"/>
      <c r="GH32" s="61"/>
      <c r="GI32" s="61"/>
      <c r="GJ32" s="61"/>
      <c r="GK32" s="61"/>
      <c r="GL32" s="61"/>
      <c r="GM32" s="61"/>
      <c r="GN32" s="61"/>
      <c r="GO32" s="83"/>
      <c r="GP32" s="61"/>
      <c r="GQ32" s="61"/>
      <c r="GR32" s="61"/>
      <c r="GS32" s="61"/>
      <c r="GT32" s="61"/>
      <c r="GU32" s="61"/>
      <c r="GV32" s="61"/>
      <c r="GW32" s="61"/>
      <c r="GX32" s="61"/>
      <c r="GY32" s="61"/>
      <c r="GZ32" s="61"/>
      <c r="HA32" s="61"/>
      <c r="HB32" s="61"/>
      <c r="HC32" s="61"/>
      <c r="HD32" s="61"/>
      <c r="HE32" s="61"/>
      <c r="HF32" s="61"/>
      <c r="HG32" s="119"/>
      <c r="HH32" s="61"/>
      <c r="HI32" s="61"/>
      <c r="HJ32" s="61"/>
      <c r="HK32" s="61"/>
      <c r="HL32" s="61"/>
      <c r="HM32" s="61"/>
      <c r="HN32" s="61"/>
      <c r="HO32" s="61"/>
      <c r="HP32" s="61"/>
      <c r="HQ32" s="61"/>
      <c r="HR32" s="61"/>
      <c r="HS32" s="61"/>
      <c r="HT32" s="61"/>
      <c r="HU32" s="61"/>
      <c r="HV32" s="61"/>
      <c r="HW32" s="80"/>
      <c r="HX32" s="80"/>
      <c r="HY32" s="82"/>
      <c r="HZ32" s="61"/>
      <c r="IA32" s="61"/>
    </row>
    <row r="33" spans="1:235" s="26" customFormat="1">
      <c r="A33" s="61"/>
      <c r="B33" s="69"/>
      <c r="C33" s="107"/>
      <c r="D33" s="78"/>
      <c r="E33" s="61"/>
      <c r="F33" s="61"/>
      <c r="G33" s="61"/>
      <c r="H33" s="61"/>
      <c r="I33" s="61"/>
      <c r="J33" s="61"/>
      <c r="K33" s="107"/>
      <c r="L33" s="130"/>
      <c r="M33" s="61"/>
      <c r="N33" s="69"/>
      <c r="O33" s="112"/>
      <c r="P33" s="28"/>
      <c r="Q33" s="61"/>
      <c r="R33" s="61"/>
      <c r="S33" s="107"/>
      <c r="T33" s="107"/>
      <c r="U33" s="61"/>
      <c r="V33" s="61"/>
      <c r="W33" s="61"/>
      <c r="X33" s="61"/>
      <c r="Y33" s="61"/>
      <c r="Z33" s="61"/>
      <c r="AA33" s="61"/>
      <c r="AB33" s="61"/>
      <c r="AC33" s="61"/>
      <c r="AD33" s="61"/>
      <c r="AE33" s="61"/>
      <c r="AF33" s="79"/>
      <c r="AG33" s="61"/>
      <c r="AH33" s="61"/>
      <c r="AI33" s="61"/>
      <c r="AJ33" s="61"/>
      <c r="AK33" s="61"/>
      <c r="AL33" s="61"/>
      <c r="AM33" s="61"/>
      <c r="AN33" s="61"/>
      <c r="AO33" s="61"/>
      <c r="AP33" s="61"/>
      <c r="AQ33" s="61"/>
      <c r="AR33" s="61"/>
      <c r="AS33" s="61"/>
      <c r="AT33" s="61"/>
      <c r="AU33" s="61"/>
      <c r="AV33" s="61"/>
      <c r="AW33" s="61"/>
      <c r="AX33" s="118"/>
      <c r="AY33" s="61"/>
      <c r="AZ33" s="61"/>
      <c r="BA33" s="61"/>
      <c r="BB33" s="61"/>
      <c r="BC33" s="61"/>
      <c r="BD33" s="61"/>
      <c r="BE33" s="61"/>
      <c r="BF33" s="61"/>
      <c r="BG33" s="61"/>
      <c r="BH33" s="61"/>
      <c r="BI33" s="61"/>
      <c r="BJ33" s="61"/>
      <c r="BK33" s="61"/>
      <c r="BL33" s="61"/>
      <c r="BM33" s="61"/>
      <c r="BN33" s="80"/>
      <c r="BO33" s="80"/>
      <c r="BP33" s="90"/>
      <c r="BQ33" s="69"/>
      <c r="BR33" s="61"/>
      <c r="BS33" s="61"/>
      <c r="BT33" s="61"/>
      <c r="BU33" s="61"/>
      <c r="BV33" s="61"/>
      <c r="BW33" s="61"/>
      <c r="BX33" s="61"/>
      <c r="BY33" s="61"/>
      <c r="BZ33" s="61"/>
      <c r="CA33" s="61"/>
      <c r="CB33" s="61"/>
      <c r="CC33" s="61"/>
      <c r="CD33" s="61"/>
      <c r="CE33" s="61"/>
      <c r="CF33" s="61"/>
      <c r="CG33" s="61"/>
      <c r="CH33" s="61"/>
      <c r="CI33" s="83"/>
      <c r="CJ33" s="61"/>
      <c r="CK33" s="61"/>
      <c r="CL33" s="61"/>
      <c r="CM33" s="61"/>
      <c r="CN33" s="61"/>
      <c r="CO33" s="61"/>
      <c r="CP33" s="61"/>
      <c r="CQ33" s="61"/>
      <c r="CR33" s="61"/>
      <c r="CS33" s="61"/>
      <c r="CT33" s="61"/>
      <c r="CU33" s="61"/>
      <c r="CV33" s="61"/>
      <c r="CW33" s="61"/>
      <c r="CX33" s="61"/>
      <c r="CY33" s="61"/>
      <c r="CZ33" s="61"/>
      <c r="DA33" s="84"/>
      <c r="DB33" s="61"/>
      <c r="DC33" s="61"/>
      <c r="DD33" s="61"/>
      <c r="DE33" s="61"/>
      <c r="DF33" s="61"/>
      <c r="DG33" s="61"/>
      <c r="DH33" s="61"/>
      <c r="DI33" s="61"/>
      <c r="DJ33" s="61"/>
      <c r="DK33" s="61"/>
      <c r="DL33" s="61"/>
      <c r="DM33" s="61"/>
      <c r="DN33" s="61"/>
      <c r="DO33" s="61"/>
      <c r="DP33" s="61"/>
      <c r="DQ33" s="80"/>
      <c r="DR33" s="80"/>
      <c r="DS33" s="90"/>
      <c r="DT33" s="69"/>
      <c r="DU33" s="61"/>
      <c r="DV33" s="61"/>
      <c r="DW33" s="61"/>
      <c r="DX33" s="61"/>
      <c r="DY33" s="61"/>
      <c r="DZ33" s="61"/>
      <c r="EA33" s="61"/>
      <c r="EB33" s="61"/>
      <c r="EC33" s="61"/>
      <c r="ED33" s="61"/>
      <c r="EE33" s="61"/>
      <c r="EF33" s="61"/>
      <c r="EG33" s="61"/>
      <c r="EH33" s="61"/>
      <c r="EI33" s="61"/>
      <c r="EJ33" s="61"/>
      <c r="EK33" s="61"/>
      <c r="EL33" s="83"/>
      <c r="EM33" s="61"/>
      <c r="EN33" s="61"/>
      <c r="EO33" s="61"/>
      <c r="EP33" s="61"/>
      <c r="EQ33" s="61"/>
      <c r="ER33" s="61"/>
      <c r="ES33" s="61"/>
      <c r="ET33" s="61"/>
      <c r="EU33" s="61"/>
      <c r="EV33" s="61"/>
      <c r="EW33" s="61"/>
      <c r="EX33" s="61"/>
      <c r="EY33" s="61"/>
      <c r="EZ33" s="61"/>
      <c r="FA33" s="61"/>
      <c r="FB33" s="61"/>
      <c r="FC33" s="61"/>
      <c r="FD33" s="84"/>
      <c r="FE33" s="61"/>
      <c r="FF33" s="61"/>
      <c r="FG33" s="61"/>
      <c r="FH33" s="61"/>
      <c r="FI33" s="61"/>
      <c r="FJ33" s="61"/>
      <c r="FK33" s="61"/>
      <c r="FL33" s="61"/>
      <c r="FM33" s="61"/>
      <c r="FN33" s="61"/>
      <c r="FO33" s="61"/>
      <c r="FP33" s="61"/>
      <c r="FQ33" s="61"/>
      <c r="FR33" s="61"/>
      <c r="FS33" s="61"/>
      <c r="FT33" s="80"/>
      <c r="FU33" s="80"/>
      <c r="FV33" s="90"/>
      <c r="FW33" s="69"/>
      <c r="FX33" s="61"/>
      <c r="FY33" s="61"/>
      <c r="FZ33" s="61"/>
      <c r="GA33" s="61"/>
      <c r="GB33" s="61"/>
      <c r="GC33" s="61"/>
      <c r="GD33" s="61"/>
      <c r="GE33" s="61"/>
      <c r="GF33" s="61"/>
      <c r="GG33" s="61"/>
      <c r="GH33" s="61"/>
      <c r="GI33" s="61"/>
      <c r="GJ33" s="61"/>
      <c r="GK33" s="61"/>
      <c r="GL33" s="61"/>
      <c r="GM33" s="61"/>
      <c r="GN33" s="61"/>
      <c r="GO33" s="83"/>
      <c r="GP33" s="61"/>
      <c r="GQ33" s="61"/>
      <c r="GR33" s="61"/>
      <c r="GS33" s="61"/>
      <c r="GT33" s="61"/>
      <c r="GU33" s="61"/>
      <c r="GV33" s="61"/>
      <c r="GW33" s="61"/>
      <c r="GX33" s="61"/>
      <c r="GY33" s="61"/>
      <c r="GZ33" s="61"/>
      <c r="HA33" s="61"/>
      <c r="HB33" s="61"/>
      <c r="HC33" s="61"/>
      <c r="HD33" s="61"/>
      <c r="HE33" s="61"/>
      <c r="HF33" s="61"/>
      <c r="HG33" s="119"/>
      <c r="HH33" s="61"/>
      <c r="HI33" s="61"/>
      <c r="HJ33" s="61"/>
      <c r="HK33" s="61"/>
      <c r="HL33" s="61"/>
      <c r="HM33" s="61"/>
      <c r="HN33" s="61"/>
      <c r="HO33" s="61"/>
      <c r="HP33" s="61"/>
      <c r="HQ33" s="61"/>
      <c r="HR33" s="61"/>
      <c r="HS33" s="61"/>
      <c r="HT33" s="61"/>
      <c r="HU33" s="61"/>
      <c r="HV33" s="61"/>
      <c r="HW33" s="80"/>
      <c r="HX33" s="80"/>
      <c r="HY33" s="82"/>
      <c r="HZ33" s="61"/>
      <c r="IA33" s="61"/>
    </row>
    <row r="34" spans="1:235" s="26" customFormat="1">
      <c r="A34" s="61"/>
      <c r="B34" s="69"/>
      <c r="C34" s="107"/>
      <c r="D34" s="78"/>
      <c r="E34" s="61"/>
      <c r="F34" s="61"/>
      <c r="G34" s="61"/>
      <c r="H34" s="61"/>
      <c r="I34" s="61"/>
      <c r="J34" s="61"/>
      <c r="K34" s="107"/>
      <c r="L34" s="78"/>
      <c r="M34" s="113"/>
      <c r="N34" s="69"/>
      <c r="O34" s="112"/>
      <c r="P34" s="28"/>
      <c r="Q34" s="61"/>
      <c r="R34" s="107"/>
      <c r="S34" s="107"/>
      <c r="T34" s="107"/>
      <c r="U34" s="61"/>
      <c r="V34" s="61"/>
      <c r="W34" s="61"/>
      <c r="X34" s="61"/>
      <c r="Y34" s="61"/>
      <c r="Z34" s="61"/>
      <c r="AA34" s="61"/>
      <c r="AB34" s="61"/>
      <c r="AC34" s="61"/>
      <c r="AD34" s="61"/>
      <c r="AE34" s="61"/>
      <c r="AF34" s="79"/>
      <c r="AG34" s="61"/>
      <c r="AH34" s="61"/>
      <c r="AI34" s="61"/>
      <c r="AJ34" s="61"/>
      <c r="AK34" s="61"/>
      <c r="AL34" s="61"/>
      <c r="AM34" s="61"/>
      <c r="AN34" s="61"/>
      <c r="AO34" s="61"/>
      <c r="AP34" s="61"/>
      <c r="AQ34" s="61"/>
      <c r="AR34" s="61"/>
      <c r="AS34" s="61"/>
      <c r="AT34" s="61"/>
      <c r="AU34" s="61"/>
      <c r="AV34" s="61"/>
      <c r="AW34" s="61"/>
      <c r="AX34" s="118"/>
      <c r="AY34" s="61"/>
      <c r="AZ34" s="61"/>
      <c r="BA34" s="61"/>
      <c r="BB34" s="61"/>
      <c r="BC34" s="61"/>
      <c r="BD34" s="61"/>
      <c r="BE34" s="61"/>
      <c r="BF34" s="61"/>
      <c r="BG34" s="61"/>
      <c r="BH34" s="61"/>
      <c r="BI34" s="61"/>
      <c r="BJ34" s="61"/>
      <c r="BK34" s="61"/>
      <c r="BL34" s="61"/>
      <c r="BM34" s="61"/>
      <c r="BN34" s="80"/>
      <c r="BO34" s="87"/>
      <c r="BP34" s="89"/>
      <c r="BQ34" s="69"/>
      <c r="BR34" s="111"/>
      <c r="BS34" s="61"/>
      <c r="BT34" s="111"/>
      <c r="BU34" s="111"/>
      <c r="BV34" s="107"/>
      <c r="BW34" s="107"/>
      <c r="BX34" s="61"/>
      <c r="BY34" s="61"/>
      <c r="BZ34" s="61"/>
      <c r="CA34" s="61"/>
      <c r="CB34" s="61"/>
      <c r="CC34" s="61"/>
      <c r="CD34" s="61"/>
      <c r="CE34" s="61"/>
      <c r="CF34" s="61"/>
      <c r="CG34" s="61"/>
      <c r="CH34" s="61"/>
      <c r="CI34" s="83"/>
      <c r="CJ34" s="61"/>
      <c r="CK34" s="61"/>
      <c r="CL34" s="61"/>
      <c r="CM34" s="61"/>
      <c r="CN34" s="61"/>
      <c r="CO34" s="61"/>
      <c r="CP34" s="61"/>
      <c r="CQ34" s="61"/>
      <c r="CR34" s="61"/>
      <c r="CS34" s="61"/>
      <c r="CT34" s="61"/>
      <c r="CU34" s="61"/>
      <c r="CV34" s="61"/>
      <c r="CW34" s="61"/>
      <c r="CX34" s="61"/>
      <c r="CY34" s="61"/>
      <c r="CZ34" s="61"/>
      <c r="DA34" s="84"/>
      <c r="DB34" s="61"/>
      <c r="DC34" s="61"/>
      <c r="DD34" s="61"/>
      <c r="DE34" s="61"/>
      <c r="DF34" s="61"/>
      <c r="DG34" s="61"/>
      <c r="DH34" s="61"/>
      <c r="DI34" s="61"/>
      <c r="DJ34" s="61"/>
      <c r="DK34" s="61"/>
      <c r="DL34" s="61"/>
      <c r="DM34" s="61"/>
      <c r="DN34" s="61"/>
      <c r="DO34" s="61"/>
      <c r="DP34" s="61"/>
      <c r="DQ34" s="80"/>
      <c r="DR34" s="87"/>
      <c r="DS34" s="89"/>
      <c r="DT34" s="86"/>
      <c r="DU34" s="111"/>
      <c r="DV34" s="111"/>
      <c r="DW34" s="111"/>
      <c r="DX34" s="111"/>
      <c r="DY34" s="111"/>
      <c r="DZ34" s="111"/>
      <c r="EA34" s="111"/>
      <c r="EB34" s="111"/>
      <c r="EC34" s="111"/>
      <c r="ED34" s="111"/>
      <c r="EE34" s="111"/>
      <c r="EF34" s="111"/>
      <c r="EG34" s="111"/>
      <c r="EH34" s="111"/>
      <c r="EI34" s="111"/>
      <c r="EJ34" s="111"/>
      <c r="EK34" s="111"/>
      <c r="EL34" s="83"/>
      <c r="EM34" s="111"/>
      <c r="EN34" s="111"/>
      <c r="EO34" s="111"/>
      <c r="EP34" s="111"/>
      <c r="EQ34" s="111"/>
      <c r="ER34" s="111"/>
      <c r="ES34" s="111"/>
      <c r="ET34" s="111"/>
      <c r="EU34" s="111"/>
      <c r="EV34" s="111"/>
      <c r="EW34" s="111"/>
      <c r="EX34" s="111"/>
      <c r="EY34" s="111"/>
      <c r="EZ34" s="111"/>
      <c r="FA34" s="111"/>
      <c r="FB34" s="111"/>
      <c r="FC34" s="111"/>
      <c r="FD34" s="84"/>
      <c r="FE34" s="111"/>
      <c r="FF34" s="111"/>
      <c r="FG34" s="111"/>
      <c r="FH34" s="61"/>
      <c r="FI34" s="111"/>
      <c r="FJ34" s="111"/>
      <c r="FK34" s="111"/>
      <c r="FL34" s="61"/>
      <c r="FM34" s="61"/>
      <c r="FN34" s="61"/>
      <c r="FO34" s="61"/>
      <c r="FP34" s="61"/>
      <c r="FQ34" s="61"/>
      <c r="FR34" s="61"/>
      <c r="FS34" s="61"/>
      <c r="FT34" s="80"/>
      <c r="FU34" s="87"/>
      <c r="FV34" s="89"/>
      <c r="FW34" s="86"/>
      <c r="FX34" s="111"/>
      <c r="FY34" s="111"/>
      <c r="FZ34" s="111"/>
      <c r="GA34" s="111"/>
      <c r="GB34" s="111"/>
      <c r="GC34" s="111"/>
      <c r="GD34" s="111"/>
      <c r="GE34" s="111"/>
      <c r="GF34" s="111"/>
      <c r="GG34" s="111"/>
      <c r="GH34" s="111"/>
      <c r="GI34" s="111"/>
      <c r="GJ34" s="111"/>
      <c r="GK34" s="111"/>
      <c r="GL34" s="111"/>
      <c r="GM34" s="111"/>
      <c r="GN34" s="111"/>
      <c r="GO34" s="95"/>
      <c r="GP34" s="111"/>
      <c r="GQ34" s="111"/>
      <c r="GR34" s="111"/>
      <c r="GS34" s="111"/>
      <c r="GT34" s="111"/>
      <c r="GU34" s="111"/>
      <c r="GV34" s="111"/>
      <c r="GW34" s="111"/>
      <c r="GX34" s="111"/>
      <c r="GY34" s="111"/>
      <c r="GZ34" s="111"/>
      <c r="HA34" s="111"/>
      <c r="HB34" s="111"/>
      <c r="HC34" s="111"/>
      <c r="HD34" s="111"/>
      <c r="HE34" s="111"/>
      <c r="HF34" s="111"/>
      <c r="HG34" s="120"/>
      <c r="HH34" s="111"/>
      <c r="HI34" s="111"/>
      <c r="HJ34" s="111"/>
      <c r="HK34" s="61"/>
      <c r="HL34" s="111"/>
      <c r="HM34" s="111"/>
      <c r="HN34" s="111"/>
      <c r="HO34" s="61"/>
      <c r="HP34" s="111"/>
      <c r="HQ34" s="111"/>
      <c r="HR34" s="111"/>
      <c r="HS34" s="61"/>
      <c r="HT34" s="111"/>
      <c r="HU34" s="111"/>
      <c r="HV34" s="61"/>
      <c r="HW34" s="80"/>
      <c r="HX34" s="87"/>
      <c r="HY34" s="82"/>
      <c r="HZ34" s="61"/>
      <c r="IA34" s="61"/>
    </row>
    <row r="35" spans="1:235" s="26" customFormat="1">
      <c r="A35" s="61"/>
      <c r="B35" s="69"/>
      <c r="C35" s="61"/>
      <c r="D35" s="78"/>
      <c r="E35" s="61"/>
      <c r="F35" s="61"/>
      <c r="G35" s="61"/>
      <c r="H35" s="61"/>
      <c r="I35" s="61"/>
      <c r="J35" s="61"/>
      <c r="K35" s="107"/>
      <c r="L35" s="78"/>
      <c r="M35" s="113"/>
      <c r="N35" s="69"/>
      <c r="O35" s="112"/>
      <c r="P35" s="28"/>
      <c r="Q35" s="61"/>
      <c r="R35" s="61"/>
      <c r="S35" s="107"/>
      <c r="T35" s="107"/>
      <c r="U35" s="61"/>
      <c r="V35" s="61"/>
      <c r="W35" s="61"/>
      <c r="X35" s="61"/>
      <c r="Y35" s="61"/>
      <c r="Z35" s="61"/>
      <c r="AA35" s="61"/>
      <c r="AB35" s="61"/>
      <c r="AC35" s="61"/>
      <c r="AD35" s="61"/>
      <c r="AE35" s="61"/>
      <c r="AF35" s="79"/>
      <c r="AG35" s="61"/>
      <c r="AH35" s="61"/>
      <c r="AI35" s="61"/>
      <c r="AJ35" s="61"/>
      <c r="AK35" s="61"/>
      <c r="AL35" s="61"/>
      <c r="AM35" s="61"/>
      <c r="AN35" s="61"/>
      <c r="AO35" s="61"/>
      <c r="AP35" s="61"/>
      <c r="AQ35" s="61"/>
      <c r="AR35" s="61"/>
      <c r="AS35" s="61"/>
      <c r="AT35" s="61"/>
      <c r="AU35" s="61"/>
      <c r="AV35" s="61"/>
      <c r="AW35" s="61"/>
      <c r="AX35" s="118"/>
      <c r="AY35" s="61"/>
      <c r="AZ35" s="61"/>
      <c r="BA35" s="61"/>
      <c r="BB35" s="61"/>
      <c r="BC35" s="61"/>
      <c r="BD35" s="61"/>
      <c r="BE35" s="61"/>
      <c r="BF35" s="61"/>
      <c r="BG35" s="61"/>
      <c r="BH35" s="61"/>
      <c r="BI35" s="61"/>
      <c r="BJ35" s="61"/>
      <c r="BK35" s="61"/>
      <c r="BL35" s="61"/>
      <c r="BM35" s="61"/>
      <c r="BN35" s="80"/>
      <c r="BO35" s="87"/>
      <c r="BP35" s="89"/>
      <c r="BQ35" s="69"/>
      <c r="BR35" s="112"/>
      <c r="BS35" s="28"/>
      <c r="BT35" s="107"/>
      <c r="BU35" s="61"/>
      <c r="BV35" s="54"/>
      <c r="BW35" s="54"/>
      <c r="BX35" s="61"/>
      <c r="BY35" s="61"/>
      <c r="BZ35" s="61"/>
      <c r="CA35" s="61"/>
      <c r="CB35" s="61"/>
      <c r="CC35" s="61"/>
      <c r="CD35" s="61"/>
      <c r="CE35" s="61"/>
      <c r="CF35" s="61"/>
      <c r="CG35" s="61"/>
      <c r="CH35" s="61"/>
      <c r="CI35" s="83"/>
      <c r="CJ35" s="61"/>
      <c r="CK35" s="61"/>
      <c r="CL35" s="61"/>
      <c r="CM35" s="61"/>
      <c r="CN35" s="61"/>
      <c r="CO35" s="61"/>
      <c r="CP35" s="61"/>
      <c r="CQ35" s="61"/>
      <c r="CR35" s="61"/>
      <c r="CS35" s="61"/>
      <c r="CT35" s="61"/>
      <c r="CU35" s="61"/>
      <c r="CV35" s="61"/>
      <c r="CW35" s="61"/>
      <c r="CX35" s="61"/>
      <c r="CY35" s="61"/>
      <c r="CZ35" s="61"/>
      <c r="DA35" s="84"/>
      <c r="DB35" s="61"/>
      <c r="DC35" s="61"/>
      <c r="DD35" s="61"/>
      <c r="DE35" s="61"/>
      <c r="DF35" s="61"/>
      <c r="DG35" s="61"/>
      <c r="DH35" s="61"/>
      <c r="DI35" s="61"/>
      <c r="DJ35" s="61"/>
      <c r="DK35" s="61"/>
      <c r="DL35" s="61"/>
      <c r="DM35" s="61"/>
      <c r="DN35" s="61"/>
      <c r="DO35" s="61"/>
      <c r="DP35" s="61"/>
      <c r="DQ35" s="80"/>
      <c r="DR35" s="87"/>
      <c r="DS35" s="89"/>
      <c r="DT35" s="69"/>
      <c r="DU35" s="61"/>
      <c r="DV35" s="61"/>
      <c r="DW35" s="111"/>
      <c r="DX35" s="111"/>
      <c r="DY35" s="111"/>
      <c r="DZ35" s="111"/>
      <c r="EA35" s="111"/>
      <c r="EB35" s="111"/>
      <c r="EC35" s="111"/>
      <c r="ED35" s="111"/>
      <c r="EE35" s="111"/>
      <c r="EF35" s="111"/>
      <c r="EG35" s="111"/>
      <c r="EH35" s="111"/>
      <c r="EI35" s="111"/>
      <c r="EJ35" s="111"/>
      <c r="EK35" s="111"/>
      <c r="EL35" s="83"/>
      <c r="EM35" s="111"/>
      <c r="EN35" s="111"/>
      <c r="EO35" s="111"/>
      <c r="EP35" s="111"/>
      <c r="EQ35" s="111"/>
      <c r="ER35" s="111"/>
      <c r="ES35" s="111"/>
      <c r="ET35" s="111"/>
      <c r="EU35" s="111"/>
      <c r="EV35" s="111"/>
      <c r="EW35" s="111"/>
      <c r="EX35" s="111"/>
      <c r="EY35" s="111"/>
      <c r="EZ35" s="111"/>
      <c r="FA35" s="111"/>
      <c r="FB35" s="111"/>
      <c r="FC35" s="111"/>
      <c r="FD35" s="84"/>
      <c r="FE35" s="111"/>
      <c r="FF35" s="111"/>
      <c r="FG35" s="111"/>
      <c r="FH35" s="61"/>
      <c r="FI35" s="111"/>
      <c r="FJ35" s="111"/>
      <c r="FK35" s="111"/>
      <c r="FL35" s="61"/>
      <c r="FM35" s="61"/>
      <c r="FN35" s="61"/>
      <c r="FO35" s="61"/>
      <c r="FP35" s="61"/>
      <c r="FQ35" s="61"/>
      <c r="FR35" s="61"/>
      <c r="FS35" s="61"/>
      <c r="FT35" s="80"/>
      <c r="FU35" s="87"/>
      <c r="FV35" s="89"/>
      <c r="FW35" s="86"/>
      <c r="FX35" s="111"/>
      <c r="FY35" s="111"/>
      <c r="FZ35" s="111"/>
      <c r="GA35" s="111"/>
      <c r="GB35" s="111"/>
      <c r="GC35" s="111"/>
      <c r="GD35" s="111"/>
      <c r="GE35" s="111"/>
      <c r="GF35" s="111"/>
      <c r="GG35" s="111"/>
      <c r="GH35" s="111"/>
      <c r="GI35" s="111"/>
      <c r="GJ35" s="111"/>
      <c r="GK35" s="111"/>
      <c r="GL35" s="111"/>
      <c r="GM35" s="111"/>
      <c r="GN35" s="111"/>
      <c r="GO35" s="95"/>
      <c r="GP35" s="111"/>
      <c r="GQ35" s="111"/>
      <c r="GR35" s="111"/>
      <c r="GS35" s="111"/>
      <c r="GT35" s="111"/>
      <c r="GU35" s="111"/>
      <c r="GV35" s="111"/>
      <c r="GW35" s="111"/>
      <c r="GX35" s="111"/>
      <c r="GY35" s="111"/>
      <c r="GZ35" s="111"/>
      <c r="HA35" s="111"/>
      <c r="HB35" s="111"/>
      <c r="HC35" s="111"/>
      <c r="HD35" s="111"/>
      <c r="HE35" s="111"/>
      <c r="HF35" s="111"/>
      <c r="HG35" s="120"/>
      <c r="HH35" s="111"/>
      <c r="HI35" s="111"/>
      <c r="HJ35" s="111"/>
      <c r="HK35" s="61"/>
      <c r="HL35" s="111"/>
      <c r="HM35" s="111"/>
      <c r="HN35" s="111"/>
      <c r="HO35" s="61"/>
      <c r="HP35" s="111"/>
      <c r="HQ35" s="111"/>
      <c r="HR35" s="111"/>
      <c r="HS35" s="61"/>
      <c r="HT35" s="111"/>
      <c r="HU35" s="111"/>
      <c r="HV35" s="61"/>
      <c r="HW35" s="80"/>
      <c r="HX35" s="87"/>
      <c r="HY35" s="82"/>
      <c r="HZ35" s="61"/>
      <c r="IA35" s="61"/>
    </row>
    <row r="36" spans="1:235" s="26" customFormat="1">
      <c r="A36" s="61"/>
      <c r="B36" s="69"/>
      <c r="C36" s="107"/>
      <c r="D36" s="78"/>
      <c r="E36" s="61"/>
      <c r="F36" s="61"/>
      <c r="G36" s="61"/>
      <c r="H36" s="107"/>
      <c r="I36" s="61"/>
      <c r="J36" s="61"/>
      <c r="K36" s="107"/>
      <c r="L36" s="130"/>
      <c r="M36" s="111"/>
      <c r="N36" s="69"/>
      <c r="O36" s="112"/>
      <c r="P36" s="61"/>
      <c r="Q36" s="107"/>
      <c r="R36" s="61"/>
      <c r="S36" s="107"/>
      <c r="T36" s="107"/>
      <c r="U36" s="61"/>
      <c r="V36" s="61"/>
      <c r="W36" s="61"/>
      <c r="X36" s="61"/>
      <c r="Y36" s="61"/>
      <c r="Z36" s="61"/>
      <c r="AA36" s="61"/>
      <c r="AB36" s="61"/>
      <c r="AC36" s="61"/>
      <c r="AD36" s="61"/>
      <c r="AE36" s="61"/>
      <c r="AF36" s="79"/>
      <c r="AG36" s="61"/>
      <c r="AH36" s="61"/>
      <c r="AI36" s="61"/>
      <c r="AJ36" s="61"/>
      <c r="AK36" s="61"/>
      <c r="AL36" s="61"/>
      <c r="AM36" s="61"/>
      <c r="AN36" s="61"/>
      <c r="AO36" s="61"/>
      <c r="AP36" s="61"/>
      <c r="AQ36" s="61"/>
      <c r="AR36" s="61"/>
      <c r="AS36" s="61"/>
      <c r="AT36" s="61"/>
      <c r="AU36" s="61"/>
      <c r="AV36" s="61"/>
      <c r="AW36" s="61"/>
      <c r="AX36" s="118"/>
      <c r="AY36" s="61"/>
      <c r="AZ36" s="61"/>
      <c r="BA36" s="61"/>
      <c r="BB36" s="61"/>
      <c r="BC36" s="61"/>
      <c r="BD36" s="61"/>
      <c r="BE36" s="61"/>
      <c r="BF36" s="61"/>
      <c r="BG36" s="61"/>
      <c r="BH36" s="61"/>
      <c r="BI36" s="61"/>
      <c r="BJ36" s="61"/>
      <c r="BK36" s="61"/>
      <c r="BL36" s="61"/>
      <c r="BM36" s="61"/>
      <c r="BN36" s="80"/>
      <c r="BO36" s="87"/>
      <c r="BP36" s="89"/>
      <c r="BQ36" s="86"/>
      <c r="BR36" s="111"/>
      <c r="BS36" s="111"/>
      <c r="BT36" s="111"/>
      <c r="BU36" s="111"/>
      <c r="BV36" s="111"/>
      <c r="BW36" s="111"/>
      <c r="BX36" s="111"/>
      <c r="BY36" s="111"/>
      <c r="BZ36" s="111"/>
      <c r="CA36" s="111"/>
      <c r="CB36" s="111"/>
      <c r="CC36" s="111"/>
      <c r="CD36" s="111"/>
      <c r="CE36" s="111"/>
      <c r="CF36" s="111"/>
      <c r="CG36" s="111"/>
      <c r="CH36" s="111"/>
      <c r="CI36" s="83"/>
      <c r="CJ36" s="111"/>
      <c r="CK36" s="111"/>
      <c r="CL36" s="111"/>
      <c r="CM36" s="111"/>
      <c r="CN36" s="111"/>
      <c r="CO36" s="111"/>
      <c r="CP36" s="111"/>
      <c r="CQ36" s="111"/>
      <c r="CR36" s="111"/>
      <c r="CS36" s="111"/>
      <c r="CT36" s="111"/>
      <c r="CU36" s="111"/>
      <c r="CV36" s="111"/>
      <c r="CW36" s="111"/>
      <c r="CX36" s="111"/>
      <c r="CY36" s="111"/>
      <c r="CZ36" s="111"/>
      <c r="DA36" s="84"/>
      <c r="DB36" s="61"/>
      <c r="DC36" s="61"/>
      <c r="DD36" s="61"/>
      <c r="DE36" s="61"/>
      <c r="DF36" s="61"/>
      <c r="DG36" s="61"/>
      <c r="DH36" s="61"/>
      <c r="DI36" s="61"/>
      <c r="DJ36" s="61"/>
      <c r="DK36" s="61"/>
      <c r="DL36" s="61"/>
      <c r="DM36" s="61"/>
      <c r="DN36" s="61"/>
      <c r="DO36" s="61"/>
      <c r="DP36" s="61"/>
      <c r="DQ36" s="80"/>
      <c r="DR36" s="87"/>
      <c r="DS36" s="89"/>
      <c r="DT36" s="86"/>
      <c r="DU36" s="111"/>
      <c r="DV36" s="111"/>
      <c r="DW36" s="111"/>
      <c r="DX36" s="111"/>
      <c r="DY36" s="111"/>
      <c r="DZ36" s="111"/>
      <c r="EA36" s="111"/>
      <c r="EB36" s="111"/>
      <c r="EC36" s="111"/>
      <c r="ED36" s="111"/>
      <c r="EE36" s="111"/>
      <c r="EF36" s="111"/>
      <c r="EG36" s="111"/>
      <c r="EH36" s="111"/>
      <c r="EI36" s="111"/>
      <c r="EJ36" s="111"/>
      <c r="EK36" s="111"/>
      <c r="EL36" s="83"/>
      <c r="EM36" s="111"/>
      <c r="EN36" s="111"/>
      <c r="EO36" s="111"/>
      <c r="EP36" s="111"/>
      <c r="EQ36" s="111"/>
      <c r="ER36" s="111"/>
      <c r="ES36" s="111"/>
      <c r="ET36" s="111"/>
      <c r="EU36" s="111"/>
      <c r="EV36" s="111"/>
      <c r="EW36" s="111"/>
      <c r="EX36" s="111"/>
      <c r="EY36" s="111"/>
      <c r="EZ36" s="111"/>
      <c r="FA36" s="111"/>
      <c r="FB36" s="111"/>
      <c r="FC36" s="111"/>
      <c r="FD36" s="84"/>
      <c r="FE36" s="111"/>
      <c r="FF36" s="111"/>
      <c r="FG36" s="111"/>
      <c r="FH36" s="111"/>
      <c r="FI36" s="111"/>
      <c r="FJ36" s="111"/>
      <c r="FK36" s="111"/>
      <c r="FL36" s="61"/>
      <c r="FM36" s="61"/>
      <c r="FN36" s="61"/>
      <c r="FO36" s="61"/>
      <c r="FP36" s="61"/>
      <c r="FQ36" s="61"/>
      <c r="FR36" s="61"/>
      <c r="FS36" s="61"/>
      <c r="FT36" s="80"/>
      <c r="FU36" s="87"/>
      <c r="FV36" s="89"/>
      <c r="FW36" s="86"/>
      <c r="FX36" s="111"/>
      <c r="FY36" s="111"/>
      <c r="FZ36" s="111"/>
      <c r="GA36" s="111"/>
      <c r="GB36" s="111"/>
      <c r="GC36" s="111"/>
      <c r="GD36" s="111"/>
      <c r="GE36" s="111"/>
      <c r="GF36" s="111"/>
      <c r="GG36" s="111"/>
      <c r="GH36" s="111"/>
      <c r="GI36" s="111"/>
      <c r="GJ36" s="111"/>
      <c r="GK36" s="111"/>
      <c r="GL36" s="111"/>
      <c r="GM36" s="111"/>
      <c r="GN36" s="111"/>
      <c r="GO36" s="95"/>
      <c r="GP36" s="111"/>
      <c r="GQ36" s="111"/>
      <c r="GR36" s="111"/>
      <c r="GS36" s="111"/>
      <c r="GT36" s="111"/>
      <c r="GU36" s="111"/>
      <c r="GV36" s="111"/>
      <c r="GW36" s="111"/>
      <c r="GX36" s="111"/>
      <c r="GY36" s="111"/>
      <c r="GZ36" s="111"/>
      <c r="HA36" s="111"/>
      <c r="HB36" s="111"/>
      <c r="HC36" s="111"/>
      <c r="HD36" s="111"/>
      <c r="HE36" s="111"/>
      <c r="HF36" s="111"/>
      <c r="HG36" s="120"/>
      <c r="HH36" s="111"/>
      <c r="HI36" s="111"/>
      <c r="HJ36" s="111"/>
      <c r="HK36" s="61"/>
      <c r="HL36" s="111"/>
      <c r="HM36" s="111"/>
      <c r="HN36" s="111"/>
      <c r="HO36" s="61"/>
      <c r="HP36" s="111"/>
      <c r="HQ36" s="111"/>
      <c r="HR36" s="111"/>
      <c r="HS36" s="61"/>
      <c r="HT36" s="111"/>
      <c r="HU36" s="111"/>
      <c r="HV36" s="61"/>
      <c r="HW36" s="80"/>
      <c r="HX36" s="87"/>
      <c r="HY36" s="82"/>
      <c r="HZ36" s="111"/>
      <c r="IA36" s="111"/>
    </row>
    <row r="37" spans="1:235" s="26" customFormat="1">
      <c r="A37" s="61"/>
      <c r="B37" s="69"/>
      <c r="C37" s="61"/>
      <c r="D37" s="78"/>
      <c r="E37" s="61"/>
      <c r="F37" s="61"/>
      <c r="G37" s="61"/>
      <c r="H37" s="61"/>
      <c r="I37" s="61"/>
      <c r="J37" s="61"/>
      <c r="K37" s="107"/>
      <c r="L37" s="130"/>
      <c r="M37" s="111"/>
      <c r="N37" s="69"/>
      <c r="O37" s="112"/>
      <c r="P37" s="61"/>
      <c r="Q37" s="61"/>
      <c r="R37" s="61"/>
      <c r="S37" s="107"/>
      <c r="T37" s="107"/>
      <c r="U37" s="61"/>
      <c r="V37" s="61"/>
      <c r="W37" s="61"/>
      <c r="X37" s="61"/>
      <c r="Y37" s="61"/>
      <c r="Z37" s="61"/>
      <c r="AA37" s="61"/>
      <c r="AB37" s="61"/>
      <c r="AC37" s="61"/>
      <c r="AD37" s="61"/>
      <c r="AE37" s="61"/>
      <c r="AF37" s="79"/>
      <c r="AG37" s="61"/>
      <c r="AH37" s="61"/>
      <c r="AI37" s="61"/>
      <c r="AJ37" s="61"/>
      <c r="AK37" s="61"/>
      <c r="AL37" s="61"/>
      <c r="AM37" s="61"/>
      <c r="AN37" s="61"/>
      <c r="AO37" s="61"/>
      <c r="AP37" s="61"/>
      <c r="AQ37" s="61"/>
      <c r="AR37" s="61"/>
      <c r="AS37" s="61"/>
      <c r="AT37" s="61"/>
      <c r="AU37" s="61"/>
      <c r="AV37" s="61"/>
      <c r="AW37" s="61"/>
      <c r="AX37" s="118"/>
      <c r="AY37" s="61"/>
      <c r="AZ37" s="61"/>
      <c r="BA37" s="61"/>
      <c r="BB37" s="61"/>
      <c r="BC37" s="61"/>
      <c r="BD37" s="61"/>
      <c r="BE37" s="61"/>
      <c r="BF37" s="61"/>
      <c r="BG37" s="61"/>
      <c r="BH37" s="61"/>
      <c r="BI37" s="61"/>
      <c r="BJ37" s="61"/>
      <c r="BK37" s="61"/>
      <c r="BL37" s="61"/>
      <c r="BM37" s="61"/>
      <c r="BN37" s="80"/>
      <c r="BO37" s="87"/>
      <c r="BP37" s="89"/>
      <c r="BQ37" s="86"/>
      <c r="BR37" s="111"/>
      <c r="BS37" s="111"/>
      <c r="BT37" s="111"/>
      <c r="BU37" s="111"/>
      <c r="BV37" s="111"/>
      <c r="BW37" s="111"/>
      <c r="BX37" s="111"/>
      <c r="BY37" s="111"/>
      <c r="BZ37" s="111"/>
      <c r="CA37" s="111"/>
      <c r="CB37" s="111"/>
      <c r="CC37" s="111"/>
      <c r="CD37" s="111"/>
      <c r="CE37" s="111"/>
      <c r="CF37" s="111"/>
      <c r="CG37" s="111"/>
      <c r="CH37" s="111"/>
      <c r="CI37" s="83"/>
      <c r="CJ37" s="111"/>
      <c r="CK37" s="111"/>
      <c r="CL37" s="111"/>
      <c r="CM37" s="111"/>
      <c r="CN37" s="111"/>
      <c r="CO37" s="111"/>
      <c r="CP37" s="111"/>
      <c r="CQ37" s="111"/>
      <c r="CR37" s="111"/>
      <c r="CS37" s="111"/>
      <c r="CT37" s="111"/>
      <c r="CU37" s="111"/>
      <c r="CV37" s="111"/>
      <c r="CW37" s="111"/>
      <c r="CX37" s="111"/>
      <c r="CY37" s="111"/>
      <c r="CZ37" s="111"/>
      <c r="DA37" s="84"/>
      <c r="DB37" s="61"/>
      <c r="DC37" s="61"/>
      <c r="DD37" s="61"/>
      <c r="DE37" s="61"/>
      <c r="DF37" s="61"/>
      <c r="DG37" s="61"/>
      <c r="DH37" s="61"/>
      <c r="DI37" s="61"/>
      <c r="DJ37" s="61"/>
      <c r="DK37" s="61"/>
      <c r="DL37" s="61"/>
      <c r="DM37" s="61"/>
      <c r="DN37" s="61"/>
      <c r="DO37" s="61"/>
      <c r="DP37" s="61"/>
      <c r="DQ37" s="80"/>
      <c r="DR37" s="87"/>
      <c r="DS37" s="89"/>
      <c r="DT37" s="86"/>
      <c r="DU37" s="111"/>
      <c r="DV37" s="111"/>
      <c r="DW37" s="111"/>
      <c r="DX37" s="111"/>
      <c r="DY37" s="111"/>
      <c r="DZ37" s="111"/>
      <c r="EA37" s="111"/>
      <c r="EB37" s="111"/>
      <c r="EC37" s="111"/>
      <c r="ED37" s="111"/>
      <c r="EE37" s="111"/>
      <c r="EF37" s="111"/>
      <c r="EG37" s="111"/>
      <c r="EH37" s="111"/>
      <c r="EI37" s="111"/>
      <c r="EJ37" s="111"/>
      <c r="EK37" s="111"/>
      <c r="EL37" s="83"/>
      <c r="EM37" s="111"/>
      <c r="EN37" s="111"/>
      <c r="EO37" s="111"/>
      <c r="EP37" s="111"/>
      <c r="EQ37" s="111"/>
      <c r="ER37" s="111"/>
      <c r="ES37" s="111"/>
      <c r="ET37" s="111"/>
      <c r="EU37" s="111"/>
      <c r="EV37" s="111"/>
      <c r="EW37" s="111"/>
      <c r="EX37" s="111"/>
      <c r="EY37" s="111"/>
      <c r="EZ37" s="111"/>
      <c r="FA37" s="111"/>
      <c r="FB37" s="111"/>
      <c r="FC37" s="111"/>
      <c r="FD37" s="84"/>
      <c r="FE37" s="111"/>
      <c r="FF37" s="111"/>
      <c r="FG37" s="111"/>
      <c r="FH37" s="111"/>
      <c r="FI37" s="111"/>
      <c r="FJ37" s="111"/>
      <c r="FK37" s="111"/>
      <c r="FL37" s="61"/>
      <c r="FM37" s="61"/>
      <c r="FN37" s="61"/>
      <c r="FO37" s="61"/>
      <c r="FP37" s="61"/>
      <c r="FQ37" s="61"/>
      <c r="FR37" s="61"/>
      <c r="FS37" s="61"/>
      <c r="FT37" s="80"/>
      <c r="FU37" s="87"/>
      <c r="FV37" s="89"/>
      <c r="FW37" s="86"/>
      <c r="FX37" s="111"/>
      <c r="FY37" s="111"/>
      <c r="FZ37" s="111"/>
      <c r="GA37" s="111"/>
      <c r="GB37" s="111"/>
      <c r="GC37" s="111"/>
      <c r="GD37" s="111"/>
      <c r="GE37" s="111"/>
      <c r="GF37" s="111"/>
      <c r="GG37" s="111"/>
      <c r="GH37" s="111"/>
      <c r="GI37" s="111"/>
      <c r="GJ37" s="111"/>
      <c r="GK37" s="111"/>
      <c r="GL37" s="111"/>
      <c r="GM37" s="111"/>
      <c r="GN37" s="111"/>
      <c r="GO37" s="95"/>
      <c r="GP37" s="111"/>
      <c r="GQ37" s="111"/>
      <c r="GR37" s="111"/>
      <c r="GS37" s="111"/>
      <c r="GT37" s="111"/>
      <c r="GU37" s="111"/>
      <c r="GV37" s="111"/>
      <c r="GW37" s="111"/>
      <c r="GX37" s="111"/>
      <c r="GY37" s="111"/>
      <c r="GZ37" s="111"/>
      <c r="HA37" s="111"/>
      <c r="HB37" s="111"/>
      <c r="HC37" s="111"/>
      <c r="HD37" s="111"/>
      <c r="HE37" s="111"/>
      <c r="HF37" s="111"/>
      <c r="HG37" s="120"/>
      <c r="HH37" s="111"/>
      <c r="HI37" s="111"/>
      <c r="HJ37" s="111"/>
      <c r="HK37" s="61"/>
      <c r="HL37" s="111"/>
      <c r="HM37" s="111"/>
      <c r="HN37" s="111"/>
      <c r="HO37" s="61"/>
      <c r="HP37" s="111"/>
      <c r="HQ37" s="111"/>
      <c r="HR37" s="111"/>
      <c r="HS37" s="61"/>
      <c r="HT37" s="111"/>
      <c r="HU37" s="111"/>
      <c r="HV37" s="61"/>
      <c r="HW37" s="80"/>
      <c r="HX37" s="87"/>
      <c r="HY37" s="82"/>
      <c r="HZ37" s="111"/>
      <c r="IA37" s="111"/>
    </row>
    <row r="38" spans="1:235" s="26" customFormat="1">
      <c r="A38" s="61"/>
      <c r="B38" s="69"/>
      <c r="C38" s="71"/>
      <c r="D38" s="78"/>
      <c r="E38" s="71"/>
      <c r="F38" s="71"/>
      <c r="G38" s="71"/>
      <c r="H38" s="71"/>
      <c r="I38" s="25"/>
      <c r="J38" s="25"/>
      <c r="K38" s="71"/>
      <c r="L38" s="106"/>
      <c r="N38" s="96"/>
      <c r="O38" s="114"/>
      <c r="P38" s="71"/>
      <c r="Q38" s="61"/>
      <c r="R38" s="25"/>
      <c r="S38" s="25"/>
      <c r="T38" s="25"/>
      <c r="U38" s="71"/>
      <c r="V38" s="71"/>
      <c r="W38" s="71"/>
      <c r="X38" s="71"/>
      <c r="Y38" s="71"/>
      <c r="Z38" s="71"/>
      <c r="AA38" s="71"/>
      <c r="AB38" s="71"/>
      <c r="AC38" s="71"/>
      <c r="AD38" s="71"/>
      <c r="AE38" s="71"/>
      <c r="AF38" s="79"/>
      <c r="AG38" s="71"/>
      <c r="AH38" s="71"/>
      <c r="AI38" s="71"/>
      <c r="AJ38" s="71"/>
      <c r="AK38" s="71"/>
      <c r="AL38" s="71"/>
      <c r="AM38" s="71"/>
      <c r="AN38" s="71"/>
      <c r="AO38" s="71"/>
      <c r="AP38" s="71"/>
      <c r="AQ38" s="71"/>
      <c r="AR38" s="71"/>
      <c r="AS38" s="71"/>
      <c r="AT38" s="71"/>
      <c r="AU38" s="71"/>
      <c r="AV38" s="71"/>
      <c r="AW38" s="71"/>
      <c r="AX38" s="118"/>
      <c r="AY38" s="71"/>
      <c r="AZ38" s="71"/>
      <c r="BA38" s="71"/>
      <c r="BB38" s="61"/>
      <c r="BC38" s="71"/>
      <c r="BD38" s="71"/>
      <c r="BE38" s="71"/>
      <c r="BF38" s="61"/>
      <c r="BG38" s="71"/>
      <c r="BH38" s="71"/>
      <c r="BI38" s="71"/>
      <c r="BJ38" s="61"/>
      <c r="BK38" s="71"/>
      <c r="BL38" s="71"/>
      <c r="BM38" s="61"/>
      <c r="BN38" s="80"/>
      <c r="BO38" s="97"/>
      <c r="BP38" s="98"/>
      <c r="BQ38" s="99"/>
      <c r="CI38" s="83"/>
      <c r="DA38" s="84"/>
      <c r="DB38" s="71"/>
      <c r="DC38" s="71"/>
      <c r="DD38" s="71"/>
      <c r="DE38" s="61"/>
      <c r="DF38" s="71"/>
      <c r="DG38" s="71"/>
      <c r="DH38" s="71"/>
      <c r="DI38" s="61"/>
      <c r="DJ38" s="71"/>
      <c r="DK38" s="71"/>
      <c r="DL38" s="71"/>
      <c r="DM38" s="61"/>
      <c r="DN38" s="71"/>
      <c r="DO38" s="71"/>
      <c r="DP38" s="61"/>
      <c r="DQ38" s="80"/>
      <c r="DR38" s="97"/>
      <c r="DS38" s="98"/>
      <c r="DT38" s="99"/>
      <c r="EL38" s="83"/>
      <c r="FD38" s="84"/>
      <c r="FL38" s="61"/>
      <c r="FM38" s="71"/>
      <c r="FN38" s="71"/>
      <c r="FO38" s="71"/>
      <c r="FP38" s="61"/>
      <c r="FQ38" s="71"/>
      <c r="FR38" s="71"/>
      <c r="FS38" s="61"/>
      <c r="FT38" s="80"/>
      <c r="FU38" s="97"/>
      <c r="FV38" s="98"/>
      <c r="FW38" s="99"/>
      <c r="GO38" s="100"/>
      <c r="HG38" s="122"/>
      <c r="HO38" s="61"/>
      <c r="HS38" s="61"/>
      <c r="HW38" s="80"/>
      <c r="HX38" s="97"/>
      <c r="HY38" s="102"/>
    </row>
    <row r="39" spans="1:235" s="26" customFormat="1">
      <c r="A39" s="71"/>
      <c r="B39" s="69"/>
      <c r="C39" s="25"/>
      <c r="D39" s="78"/>
      <c r="E39" s="71"/>
      <c r="F39" s="71"/>
      <c r="G39" s="71"/>
      <c r="H39" s="71"/>
      <c r="I39" s="25"/>
      <c r="J39" s="71"/>
      <c r="K39" s="25"/>
      <c r="L39" s="103"/>
      <c r="N39" s="96"/>
      <c r="O39" s="114"/>
      <c r="P39" s="71"/>
      <c r="Q39" s="61"/>
      <c r="R39" s="71"/>
      <c r="S39" s="25"/>
      <c r="T39" s="25"/>
      <c r="U39" s="71"/>
      <c r="V39" s="71"/>
      <c r="W39" s="71"/>
      <c r="X39" s="71"/>
      <c r="Y39" s="71"/>
      <c r="Z39" s="71"/>
      <c r="AA39" s="71"/>
      <c r="AB39" s="71"/>
      <c r="AC39" s="71"/>
      <c r="AD39" s="71"/>
      <c r="AE39" s="71"/>
      <c r="AF39" s="79"/>
      <c r="AG39" s="71"/>
      <c r="AH39" s="71"/>
      <c r="AI39" s="71"/>
      <c r="AJ39" s="71"/>
      <c r="AK39" s="71"/>
      <c r="AL39" s="71"/>
      <c r="AM39" s="71"/>
      <c r="AN39" s="71"/>
      <c r="AO39" s="71"/>
      <c r="AP39" s="71"/>
      <c r="AQ39" s="71"/>
      <c r="AR39" s="71"/>
      <c r="AS39" s="71"/>
      <c r="AT39" s="71"/>
      <c r="AU39" s="71"/>
      <c r="AV39" s="71"/>
      <c r="AW39" s="71"/>
      <c r="AX39" s="118"/>
      <c r="AY39" s="71"/>
      <c r="AZ39" s="71"/>
      <c r="BA39" s="71"/>
      <c r="BB39" s="61"/>
      <c r="BC39" s="71"/>
      <c r="BD39" s="71"/>
      <c r="BE39" s="71"/>
      <c r="BF39" s="61"/>
      <c r="BG39" s="71"/>
      <c r="BH39" s="71"/>
      <c r="BI39" s="71"/>
      <c r="BJ39" s="61"/>
      <c r="BK39" s="71"/>
      <c r="BL39" s="71"/>
      <c r="BM39" s="61"/>
      <c r="BN39" s="80"/>
      <c r="BO39" s="97"/>
      <c r="BP39" s="98"/>
      <c r="BQ39" s="99"/>
      <c r="CI39" s="83"/>
      <c r="DA39" s="84"/>
      <c r="DB39" s="71"/>
      <c r="DC39" s="71"/>
      <c r="DD39" s="71"/>
      <c r="DE39" s="61"/>
      <c r="DF39" s="71"/>
      <c r="DG39" s="71"/>
      <c r="DH39" s="71"/>
      <c r="DI39" s="61"/>
      <c r="DJ39" s="71"/>
      <c r="DK39" s="71"/>
      <c r="DL39" s="71"/>
      <c r="DM39" s="61"/>
      <c r="DN39" s="71"/>
      <c r="DO39" s="71"/>
      <c r="DP39" s="61"/>
      <c r="DQ39" s="80"/>
      <c r="DR39" s="97"/>
      <c r="DS39" s="98"/>
      <c r="DT39" s="99"/>
      <c r="EL39" s="83"/>
      <c r="FD39" s="84"/>
      <c r="FT39" s="97"/>
      <c r="FU39" s="97"/>
      <c r="FV39" s="98"/>
      <c r="FW39" s="99"/>
      <c r="GO39" s="100"/>
      <c r="HG39" s="122"/>
      <c r="HW39" s="97"/>
      <c r="HX39" s="97"/>
      <c r="HY39" s="102"/>
    </row>
    <row r="40" spans="1:235" s="26" customFormat="1">
      <c r="A40" s="71"/>
      <c r="B40" s="69"/>
      <c r="C40" s="71"/>
      <c r="D40" s="103"/>
      <c r="E40" s="71"/>
      <c r="F40" s="71"/>
      <c r="G40" s="71"/>
      <c r="H40" s="71"/>
      <c r="I40" s="71"/>
      <c r="J40" s="25"/>
      <c r="K40" s="25"/>
      <c r="L40" s="103"/>
      <c r="M40" s="71"/>
      <c r="N40" s="96"/>
      <c r="O40" s="114"/>
      <c r="P40" s="71"/>
      <c r="Q40" s="61"/>
      <c r="R40" s="61"/>
      <c r="S40" s="54"/>
      <c r="T40" s="54"/>
      <c r="U40" s="71"/>
      <c r="V40" s="71"/>
      <c r="W40" s="71"/>
      <c r="X40" s="71"/>
      <c r="Y40" s="71"/>
      <c r="Z40" s="71"/>
      <c r="AA40" s="71"/>
      <c r="AB40" s="71"/>
      <c r="AC40" s="71"/>
      <c r="AD40" s="71"/>
      <c r="AE40" s="71"/>
      <c r="AF40" s="79"/>
      <c r="AG40" s="71"/>
      <c r="AH40" s="71"/>
      <c r="AI40" s="71"/>
      <c r="AJ40" s="71"/>
      <c r="AK40" s="71"/>
      <c r="AL40" s="71"/>
      <c r="AM40" s="71"/>
      <c r="AN40" s="71"/>
      <c r="AO40" s="71"/>
      <c r="AP40" s="71"/>
      <c r="AQ40" s="71"/>
      <c r="AR40" s="71"/>
      <c r="AS40" s="71"/>
      <c r="AT40" s="71"/>
      <c r="AU40" s="71"/>
      <c r="AV40" s="71"/>
      <c r="AW40" s="71"/>
      <c r="AX40" s="118"/>
      <c r="AY40" s="71"/>
      <c r="AZ40" s="71"/>
      <c r="BA40" s="71"/>
      <c r="BB40" s="61"/>
      <c r="BC40" s="71"/>
      <c r="BD40" s="71"/>
      <c r="BE40" s="71"/>
      <c r="BF40" s="61"/>
      <c r="BG40" s="71"/>
      <c r="BH40" s="71"/>
      <c r="BI40" s="71"/>
      <c r="BJ40" s="61"/>
      <c r="BK40" s="71"/>
      <c r="BL40" s="71"/>
      <c r="BM40" s="61"/>
      <c r="BN40" s="80"/>
      <c r="BO40" s="97"/>
      <c r="BP40" s="98"/>
      <c r="BQ40" s="96"/>
      <c r="CI40" s="83"/>
      <c r="DA40" s="84"/>
      <c r="DB40" s="71"/>
      <c r="DC40" s="71"/>
      <c r="DD40" s="71"/>
      <c r="DE40" s="71"/>
      <c r="DF40" s="71"/>
      <c r="DG40" s="71"/>
      <c r="DH40" s="71"/>
      <c r="DI40" s="71"/>
      <c r="DJ40" s="71"/>
      <c r="DK40" s="71"/>
      <c r="DL40" s="71"/>
      <c r="DM40" s="61"/>
      <c r="DN40" s="71"/>
      <c r="DO40" s="71"/>
      <c r="DP40" s="61"/>
      <c r="DQ40" s="80"/>
      <c r="DR40" s="97"/>
      <c r="DS40" s="98"/>
      <c r="DT40" s="96"/>
      <c r="DU40" s="114"/>
      <c r="DV40" s="66"/>
      <c r="DY40" s="25"/>
      <c r="DZ40" s="25"/>
      <c r="EA40" s="68"/>
      <c r="EB40" s="68"/>
      <c r="EC40" s="68"/>
      <c r="ED40" s="68"/>
      <c r="EE40" s="68"/>
      <c r="EF40" s="68"/>
      <c r="EG40" s="68"/>
      <c r="EH40" s="68"/>
      <c r="EI40" s="68"/>
      <c r="EJ40" s="68"/>
      <c r="EK40" s="68"/>
      <c r="EL40" s="83"/>
      <c r="EM40" s="68"/>
      <c r="EN40" s="68"/>
      <c r="EO40" s="68"/>
      <c r="EP40" s="68"/>
      <c r="EQ40" s="68"/>
      <c r="ER40" s="68"/>
      <c r="ES40" s="68"/>
      <c r="ET40" s="68"/>
      <c r="EU40" s="68"/>
      <c r="EV40" s="68"/>
      <c r="EW40" s="68"/>
      <c r="EX40" s="68"/>
      <c r="EY40" s="68"/>
      <c r="EZ40" s="68"/>
      <c r="FA40" s="68"/>
      <c r="FB40" s="68"/>
      <c r="FC40" s="68"/>
      <c r="FD40" s="84"/>
      <c r="FT40" s="97"/>
      <c r="FU40" s="97"/>
      <c r="FV40" s="98"/>
      <c r="FW40" s="99"/>
      <c r="GO40" s="100"/>
      <c r="HG40" s="122"/>
      <c r="HW40" s="97"/>
      <c r="HX40" s="97"/>
      <c r="HY40" s="102"/>
    </row>
    <row r="41" spans="1:235" s="26" customFormat="1">
      <c r="A41" s="71"/>
      <c r="B41" s="69"/>
      <c r="C41" s="71"/>
      <c r="D41" s="103"/>
      <c r="E41" s="71"/>
      <c r="F41" s="71"/>
      <c r="G41" s="71"/>
      <c r="H41" s="25"/>
      <c r="I41" s="107"/>
      <c r="J41" s="107"/>
      <c r="K41" s="25"/>
      <c r="L41" s="78"/>
      <c r="N41" s="96"/>
      <c r="O41" s="114"/>
      <c r="P41" s="71"/>
      <c r="Q41" s="61"/>
      <c r="R41" s="61"/>
      <c r="S41" s="25"/>
      <c r="T41" s="25"/>
      <c r="U41" s="71"/>
      <c r="V41" s="71"/>
      <c r="W41" s="71"/>
      <c r="X41" s="71"/>
      <c r="Y41" s="71"/>
      <c r="Z41" s="71"/>
      <c r="AA41" s="71"/>
      <c r="AB41" s="71"/>
      <c r="AC41" s="71"/>
      <c r="AD41" s="71"/>
      <c r="AE41" s="71"/>
      <c r="AF41" s="79"/>
      <c r="AG41" s="71"/>
      <c r="AH41" s="71"/>
      <c r="AI41" s="71"/>
      <c r="AJ41" s="71"/>
      <c r="AK41" s="71"/>
      <c r="AL41" s="71"/>
      <c r="AM41" s="71"/>
      <c r="AN41" s="71"/>
      <c r="AO41" s="71"/>
      <c r="AP41" s="71"/>
      <c r="AQ41" s="71"/>
      <c r="AR41" s="71"/>
      <c r="AS41" s="71"/>
      <c r="AT41" s="71"/>
      <c r="AU41" s="71"/>
      <c r="AV41" s="71"/>
      <c r="AW41" s="71"/>
      <c r="AX41" s="118"/>
      <c r="AY41" s="71"/>
      <c r="AZ41" s="71"/>
      <c r="BA41" s="71"/>
      <c r="BB41" s="61"/>
      <c r="BC41" s="71"/>
      <c r="BD41" s="71"/>
      <c r="BE41" s="71"/>
      <c r="BF41" s="61"/>
      <c r="BG41" s="71"/>
      <c r="BH41" s="71"/>
      <c r="BI41" s="71"/>
      <c r="BJ41" s="61"/>
      <c r="BK41" s="71"/>
      <c r="BL41" s="71"/>
      <c r="BM41" s="61"/>
      <c r="BN41" s="80"/>
      <c r="BO41" s="97"/>
      <c r="BP41" s="102"/>
      <c r="BQ41" s="99"/>
      <c r="CI41" s="83"/>
      <c r="DA41" s="84"/>
      <c r="DB41" s="71"/>
      <c r="DC41" s="71"/>
      <c r="DD41" s="71"/>
      <c r="DE41" s="71"/>
      <c r="DF41" s="71"/>
      <c r="DG41" s="71"/>
      <c r="DH41" s="71"/>
      <c r="DI41" s="71"/>
      <c r="DJ41" s="71"/>
      <c r="DK41" s="71"/>
      <c r="DL41" s="71"/>
      <c r="DM41" s="61"/>
      <c r="DN41" s="71"/>
      <c r="DO41" s="71"/>
      <c r="DP41" s="61"/>
      <c r="DQ41" s="80"/>
      <c r="DR41" s="97"/>
      <c r="DS41" s="98"/>
      <c r="DT41" s="99"/>
      <c r="EL41" s="83"/>
      <c r="FD41" s="84"/>
      <c r="FT41" s="97"/>
      <c r="FU41" s="97"/>
      <c r="FV41" s="98"/>
      <c r="FW41" s="99"/>
      <c r="GO41" s="100"/>
      <c r="HG41" s="122"/>
      <c r="HW41" s="97"/>
      <c r="HX41" s="97"/>
      <c r="HY41" s="102"/>
    </row>
    <row r="42" spans="1:235" s="26" customFormat="1">
      <c r="A42" s="71"/>
      <c r="B42" s="69"/>
      <c r="C42" s="25"/>
      <c r="D42" s="103"/>
      <c r="E42" s="71"/>
      <c r="F42" s="71"/>
      <c r="G42" s="71"/>
      <c r="H42" s="71"/>
      <c r="I42" s="71"/>
      <c r="J42" s="71"/>
      <c r="K42" s="25"/>
      <c r="L42" s="103"/>
      <c r="M42" s="71"/>
      <c r="N42" s="96"/>
      <c r="O42" s="114"/>
      <c r="P42" s="71"/>
      <c r="Q42" s="61"/>
      <c r="R42" s="71"/>
      <c r="S42" s="71"/>
      <c r="T42" s="71"/>
      <c r="U42" s="71"/>
      <c r="V42" s="71"/>
      <c r="W42" s="71"/>
      <c r="X42" s="71"/>
      <c r="Y42" s="71"/>
      <c r="Z42" s="71"/>
      <c r="AA42" s="71"/>
      <c r="AB42" s="71"/>
      <c r="AC42" s="71"/>
      <c r="AD42" s="71"/>
      <c r="AE42" s="71"/>
      <c r="AF42" s="79"/>
      <c r="AG42" s="71"/>
      <c r="AH42" s="71"/>
      <c r="AI42" s="71"/>
      <c r="AJ42" s="71"/>
      <c r="AK42" s="71"/>
      <c r="AL42" s="71"/>
      <c r="AM42" s="71"/>
      <c r="AN42" s="71"/>
      <c r="AO42" s="71"/>
      <c r="AP42" s="71"/>
      <c r="AQ42" s="71"/>
      <c r="AR42" s="71"/>
      <c r="AS42" s="71"/>
      <c r="AT42" s="71"/>
      <c r="AU42" s="71"/>
      <c r="AV42" s="71"/>
      <c r="AW42" s="71"/>
      <c r="AX42" s="118"/>
      <c r="AY42" s="71"/>
      <c r="AZ42" s="71"/>
      <c r="BA42" s="71"/>
      <c r="BB42" s="61"/>
      <c r="BC42" s="71"/>
      <c r="BD42" s="71"/>
      <c r="BE42" s="71"/>
      <c r="BF42" s="61"/>
      <c r="BG42" s="71"/>
      <c r="BH42" s="71"/>
      <c r="BI42" s="71"/>
      <c r="BJ42" s="61"/>
      <c r="BK42" s="71"/>
      <c r="BL42" s="71"/>
      <c r="BM42" s="61"/>
      <c r="BN42" s="80"/>
      <c r="BO42" s="124"/>
      <c r="BP42" s="102"/>
      <c r="BQ42" s="96"/>
      <c r="BR42" s="71"/>
      <c r="BS42" s="71"/>
      <c r="BT42" s="71"/>
      <c r="BU42" s="71"/>
      <c r="BV42" s="71"/>
      <c r="BW42" s="71"/>
      <c r="BX42" s="71"/>
      <c r="BY42" s="71"/>
      <c r="BZ42" s="71"/>
      <c r="CA42" s="71"/>
      <c r="CB42" s="71"/>
      <c r="CC42" s="71"/>
      <c r="CD42" s="71"/>
      <c r="CE42" s="71"/>
      <c r="CF42" s="71"/>
      <c r="CG42" s="71"/>
      <c r="CH42" s="71"/>
      <c r="CI42" s="115"/>
      <c r="CJ42" s="71"/>
      <c r="CK42" s="71"/>
      <c r="CL42" s="71"/>
      <c r="CM42" s="71"/>
      <c r="CN42" s="71"/>
      <c r="CO42" s="71"/>
      <c r="CP42" s="71"/>
      <c r="CQ42" s="71"/>
      <c r="CR42" s="71"/>
      <c r="CS42" s="71"/>
      <c r="CT42" s="71"/>
      <c r="CU42" s="71"/>
      <c r="CV42" s="71"/>
      <c r="CW42" s="71"/>
      <c r="CX42" s="71"/>
      <c r="CY42" s="71"/>
      <c r="CZ42" s="71"/>
      <c r="DA42" s="84"/>
      <c r="DB42" s="71"/>
      <c r="DC42" s="71"/>
      <c r="DD42" s="71"/>
      <c r="DE42" s="71"/>
      <c r="DF42" s="71"/>
      <c r="DG42" s="71"/>
      <c r="DH42" s="71"/>
      <c r="DI42" s="71"/>
      <c r="DJ42" s="71"/>
      <c r="DK42" s="71"/>
      <c r="DL42" s="71"/>
      <c r="DM42" s="61"/>
      <c r="DN42" s="71"/>
      <c r="DO42" s="71"/>
      <c r="DP42" s="61"/>
      <c r="DQ42" s="80"/>
      <c r="DR42" s="105"/>
      <c r="DS42" s="126"/>
      <c r="DT42" s="96"/>
      <c r="DU42" s="71"/>
      <c r="DV42" s="71"/>
      <c r="DW42" s="71"/>
      <c r="DX42" s="71"/>
      <c r="DY42" s="71"/>
      <c r="DZ42" s="71"/>
      <c r="EA42" s="71"/>
      <c r="EB42" s="71"/>
      <c r="EC42" s="71"/>
      <c r="ED42" s="71"/>
      <c r="EE42" s="71"/>
      <c r="EF42" s="71"/>
      <c r="EG42" s="71"/>
      <c r="EH42" s="71"/>
      <c r="EI42" s="71"/>
      <c r="EJ42" s="71"/>
      <c r="EK42" s="71"/>
      <c r="EL42" s="83"/>
      <c r="EM42" s="71"/>
      <c r="EN42" s="71"/>
      <c r="EO42" s="71"/>
      <c r="EP42" s="71"/>
      <c r="EQ42" s="71"/>
      <c r="ER42" s="71"/>
      <c r="ES42" s="71"/>
      <c r="ET42" s="71"/>
      <c r="EU42" s="71"/>
      <c r="EV42" s="71"/>
      <c r="EW42" s="71"/>
      <c r="EX42" s="71"/>
      <c r="EY42" s="71"/>
      <c r="EZ42" s="71"/>
      <c r="FA42" s="71"/>
      <c r="FB42" s="71"/>
      <c r="FC42" s="71"/>
      <c r="FD42" s="84"/>
      <c r="FE42" s="71"/>
      <c r="FF42" s="71"/>
      <c r="FG42" s="71"/>
      <c r="FH42" s="71"/>
      <c r="FI42" s="71"/>
      <c r="FJ42" s="71"/>
      <c r="FK42" s="71"/>
      <c r="FL42" s="71"/>
      <c r="FM42" s="71"/>
      <c r="FN42" s="71"/>
      <c r="FO42" s="71"/>
      <c r="FP42" s="71"/>
      <c r="FQ42" s="71"/>
      <c r="FR42" s="71"/>
      <c r="FS42" s="71"/>
      <c r="FT42" s="105"/>
      <c r="FU42" s="105"/>
      <c r="FV42" s="126"/>
      <c r="FW42" s="96"/>
      <c r="FX42" s="71"/>
      <c r="FY42" s="71"/>
      <c r="FZ42" s="71"/>
      <c r="GA42" s="71"/>
      <c r="GB42" s="71"/>
      <c r="GC42" s="71"/>
      <c r="GD42" s="71"/>
      <c r="GE42" s="71"/>
      <c r="GF42" s="71"/>
      <c r="GG42" s="71"/>
      <c r="GH42" s="71"/>
      <c r="GI42" s="71"/>
      <c r="GJ42" s="71"/>
      <c r="GK42" s="71"/>
      <c r="GL42" s="71"/>
      <c r="GM42" s="71"/>
      <c r="GN42" s="71"/>
      <c r="GO42" s="115"/>
      <c r="GP42" s="71"/>
      <c r="GQ42" s="71"/>
      <c r="GR42" s="71"/>
      <c r="GS42" s="71"/>
      <c r="GT42" s="71"/>
      <c r="GU42" s="71"/>
      <c r="GV42" s="71"/>
      <c r="GW42" s="71"/>
      <c r="GX42" s="71"/>
      <c r="GY42" s="71"/>
      <c r="GZ42" s="71"/>
      <c r="HA42" s="71"/>
      <c r="HB42" s="71"/>
      <c r="HC42" s="71"/>
      <c r="HD42" s="71"/>
      <c r="HE42" s="71"/>
      <c r="HF42" s="71"/>
      <c r="HG42" s="128"/>
      <c r="HH42" s="71"/>
      <c r="HI42" s="71"/>
      <c r="HJ42" s="71"/>
      <c r="HK42" s="71"/>
      <c r="HL42" s="71"/>
      <c r="HM42" s="71"/>
      <c r="HN42" s="71"/>
      <c r="HO42" s="71"/>
      <c r="HP42" s="71"/>
      <c r="HQ42" s="71"/>
      <c r="HR42" s="71"/>
      <c r="HS42" s="71"/>
      <c r="HT42" s="71"/>
      <c r="HU42" s="71"/>
      <c r="HV42" s="71"/>
      <c r="HW42" s="105"/>
      <c r="HX42" s="105"/>
      <c r="HY42" s="102"/>
      <c r="HZ42" s="71"/>
      <c r="IA42" s="71"/>
    </row>
    <row r="43" spans="1:235" s="26" customFormat="1">
      <c r="A43" s="71"/>
      <c r="B43" s="96"/>
      <c r="C43" s="25"/>
      <c r="D43" s="103"/>
      <c r="E43" s="71"/>
      <c r="F43" s="71"/>
      <c r="G43" s="71"/>
      <c r="H43" s="71"/>
      <c r="I43" s="71"/>
      <c r="J43" s="71"/>
      <c r="K43" s="25"/>
      <c r="L43" s="103"/>
      <c r="M43" s="113"/>
      <c r="N43" s="96"/>
      <c r="O43" s="114"/>
      <c r="P43" s="66"/>
      <c r="S43" s="25"/>
      <c r="T43" s="25"/>
      <c r="U43" s="71"/>
      <c r="V43" s="71"/>
      <c r="W43" s="71"/>
      <c r="X43" s="71"/>
      <c r="Y43" s="71"/>
      <c r="Z43" s="71"/>
      <c r="AA43" s="71"/>
      <c r="AB43" s="71"/>
      <c r="AC43" s="71"/>
      <c r="AD43" s="71"/>
      <c r="AE43" s="71"/>
      <c r="AF43" s="79"/>
      <c r="AG43" s="71"/>
      <c r="AH43" s="71"/>
      <c r="AI43" s="71"/>
      <c r="AJ43" s="71"/>
      <c r="AK43" s="71"/>
      <c r="AL43" s="71"/>
      <c r="AM43" s="71"/>
      <c r="AN43" s="71"/>
      <c r="AO43" s="71"/>
      <c r="AP43" s="71"/>
      <c r="AQ43" s="71"/>
      <c r="AR43" s="71"/>
      <c r="AS43" s="71"/>
      <c r="AT43" s="71"/>
      <c r="AU43" s="71"/>
      <c r="AV43" s="71"/>
      <c r="AW43" s="71"/>
      <c r="AX43" s="118"/>
      <c r="AY43" s="71"/>
      <c r="AZ43" s="71"/>
      <c r="BA43" s="71"/>
      <c r="BB43" s="61"/>
      <c r="BC43" s="71"/>
      <c r="BD43" s="71"/>
      <c r="BE43" s="71"/>
      <c r="BF43" s="61"/>
      <c r="BG43" s="71"/>
      <c r="BH43" s="71"/>
      <c r="BI43" s="71"/>
      <c r="BJ43" s="61"/>
      <c r="BK43" s="71"/>
      <c r="BL43" s="71"/>
      <c r="BM43" s="61"/>
      <c r="BN43" s="80"/>
      <c r="BO43" s="97"/>
      <c r="BP43" s="98"/>
      <c r="BQ43" s="99"/>
      <c r="CI43" s="100"/>
      <c r="DA43" s="84"/>
      <c r="DB43" s="71"/>
      <c r="DC43" s="71"/>
      <c r="DD43" s="71"/>
      <c r="DE43" s="71"/>
      <c r="DF43" s="71"/>
      <c r="DG43" s="71"/>
      <c r="DH43" s="71"/>
      <c r="DI43" s="71"/>
      <c r="DJ43" s="71"/>
      <c r="DK43" s="71"/>
      <c r="DL43" s="71"/>
      <c r="DM43" s="71"/>
      <c r="DN43" s="71"/>
      <c r="DO43" s="71"/>
      <c r="DP43" s="61"/>
      <c r="DQ43" s="80"/>
      <c r="DR43" s="97"/>
      <c r="DS43" s="98"/>
      <c r="DT43" s="99"/>
      <c r="EL43" s="100"/>
      <c r="FD43" s="101"/>
      <c r="FT43" s="97"/>
      <c r="FU43" s="97"/>
      <c r="FV43" s="98"/>
      <c r="FW43" s="99"/>
      <c r="GO43" s="100"/>
      <c r="HG43" s="122"/>
      <c r="HW43" s="97"/>
      <c r="HX43" s="97"/>
      <c r="HY43" s="102"/>
    </row>
    <row r="44" spans="1:235" s="26" customFormat="1">
      <c r="A44" s="71"/>
      <c r="B44" s="96"/>
      <c r="C44" s="71"/>
      <c r="D44" s="103"/>
      <c r="E44" s="71"/>
      <c r="F44" s="71"/>
      <c r="G44" s="71"/>
      <c r="H44" s="25"/>
      <c r="I44" s="71"/>
      <c r="J44" s="71"/>
      <c r="K44" s="71"/>
      <c r="L44" s="103"/>
      <c r="M44" s="71"/>
      <c r="N44" s="96"/>
      <c r="O44" s="114"/>
      <c r="P44" s="66"/>
      <c r="Q44" s="66"/>
      <c r="R44" s="71"/>
      <c r="S44" s="25"/>
      <c r="T44" s="25"/>
      <c r="U44" s="71"/>
      <c r="V44" s="71"/>
      <c r="W44" s="71"/>
      <c r="X44" s="71"/>
      <c r="Y44" s="71"/>
      <c r="Z44" s="71"/>
      <c r="AA44" s="71"/>
      <c r="AB44" s="71"/>
      <c r="AC44" s="71"/>
      <c r="AD44" s="71"/>
      <c r="AE44" s="71"/>
      <c r="AF44" s="79"/>
      <c r="AG44" s="71"/>
      <c r="AH44" s="71"/>
      <c r="AI44" s="71"/>
      <c r="AJ44" s="71"/>
      <c r="AK44" s="71"/>
      <c r="AL44" s="71"/>
      <c r="AM44" s="71"/>
      <c r="AN44" s="71"/>
      <c r="AO44" s="71"/>
      <c r="AP44" s="71"/>
      <c r="AQ44" s="71"/>
      <c r="AR44" s="71"/>
      <c r="AS44" s="71"/>
      <c r="AT44" s="71"/>
      <c r="AU44" s="71"/>
      <c r="AV44" s="71"/>
      <c r="AW44" s="71"/>
      <c r="AX44" s="118"/>
      <c r="AY44" s="71"/>
      <c r="AZ44" s="71"/>
      <c r="BA44" s="71"/>
      <c r="BB44" s="61"/>
      <c r="BC44" s="71"/>
      <c r="BD44" s="71"/>
      <c r="BE44" s="71"/>
      <c r="BF44" s="61"/>
      <c r="BG44" s="71"/>
      <c r="BH44" s="71"/>
      <c r="BI44" s="71"/>
      <c r="BJ44" s="61"/>
      <c r="BK44" s="71"/>
      <c r="BL44" s="71"/>
      <c r="BM44" s="61"/>
      <c r="BN44" s="80"/>
      <c r="BO44" s="105"/>
      <c r="BP44" s="102"/>
      <c r="BQ44" s="96"/>
      <c r="BR44" s="71"/>
      <c r="BS44" s="71"/>
      <c r="BT44" s="71"/>
      <c r="BU44" s="71"/>
      <c r="BV44" s="71"/>
      <c r="BW44" s="71"/>
      <c r="BX44" s="71"/>
      <c r="BY44" s="71"/>
      <c r="BZ44" s="71"/>
      <c r="CA44" s="71"/>
      <c r="CB44" s="71"/>
      <c r="CC44" s="71"/>
      <c r="CD44" s="71"/>
      <c r="CE44" s="71"/>
      <c r="CF44" s="71"/>
      <c r="CG44" s="71"/>
      <c r="CH44" s="71"/>
      <c r="CI44" s="115"/>
      <c r="CJ44" s="71"/>
      <c r="CK44" s="71"/>
      <c r="CL44" s="71"/>
      <c r="CM44" s="71"/>
      <c r="CN44" s="71"/>
      <c r="CO44" s="71"/>
      <c r="CP44" s="71"/>
      <c r="CQ44" s="71"/>
      <c r="CR44" s="71"/>
      <c r="CS44" s="71"/>
      <c r="CT44" s="71"/>
      <c r="CU44" s="71"/>
      <c r="CV44" s="71"/>
      <c r="CW44" s="71"/>
      <c r="CX44" s="71"/>
      <c r="CY44" s="71"/>
      <c r="CZ44" s="71"/>
      <c r="DA44" s="84"/>
      <c r="DB44" s="71"/>
      <c r="DC44" s="71"/>
      <c r="DD44" s="71"/>
      <c r="DE44" s="71"/>
      <c r="DF44" s="71"/>
      <c r="DG44" s="71"/>
      <c r="DH44" s="71"/>
      <c r="DI44" s="71"/>
      <c r="DJ44" s="71"/>
      <c r="DK44" s="71"/>
      <c r="DL44" s="71"/>
      <c r="DM44" s="71"/>
      <c r="DN44" s="71"/>
      <c r="DO44" s="71"/>
      <c r="DP44" s="61"/>
      <c r="DQ44" s="80"/>
      <c r="DR44" s="105"/>
      <c r="DS44" s="126"/>
      <c r="DT44" s="96"/>
      <c r="DU44" s="71"/>
      <c r="DV44" s="71"/>
      <c r="DW44" s="71"/>
      <c r="DX44" s="71"/>
      <c r="DY44" s="71"/>
      <c r="DZ44" s="71"/>
      <c r="EA44" s="71"/>
      <c r="EB44" s="71"/>
      <c r="EC44" s="71"/>
      <c r="ED44" s="71"/>
      <c r="EE44" s="71"/>
      <c r="EF44" s="71"/>
      <c r="EG44" s="71"/>
      <c r="EH44" s="71"/>
      <c r="EI44" s="71"/>
      <c r="EJ44" s="71"/>
      <c r="EK44" s="71"/>
      <c r="EL44" s="115"/>
      <c r="EM44" s="71"/>
      <c r="EN44" s="71"/>
      <c r="EO44" s="71"/>
      <c r="EP44" s="71"/>
      <c r="EQ44" s="71"/>
      <c r="ER44" s="71"/>
      <c r="ES44" s="71"/>
      <c r="ET44" s="71"/>
      <c r="EU44" s="71"/>
      <c r="EV44" s="71"/>
      <c r="EW44" s="71"/>
      <c r="EX44" s="71"/>
      <c r="EY44" s="71"/>
      <c r="EZ44" s="71"/>
      <c r="FA44" s="71"/>
      <c r="FB44" s="71"/>
      <c r="FC44" s="71"/>
      <c r="FD44" s="125"/>
      <c r="FE44" s="71"/>
      <c r="FF44" s="71"/>
      <c r="FG44" s="71"/>
      <c r="FH44" s="71"/>
      <c r="FI44" s="71"/>
      <c r="FJ44" s="71"/>
      <c r="FK44" s="71"/>
      <c r="FL44" s="71"/>
      <c r="FM44" s="71"/>
      <c r="FN44" s="71"/>
      <c r="FO44" s="71"/>
      <c r="FP44" s="71"/>
      <c r="FQ44" s="71"/>
      <c r="FR44" s="71"/>
      <c r="FS44" s="71"/>
      <c r="FT44" s="105"/>
      <c r="FU44" s="105"/>
      <c r="FV44" s="126"/>
      <c r="FW44" s="96"/>
      <c r="FX44" s="71"/>
      <c r="FY44" s="71"/>
      <c r="FZ44" s="71"/>
      <c r="GA44" s="71"/>
      <c r="GB44" s="71"/>
      <c r="GC44" s="71"/>
      <c r="GD44" s="71"/>
      <c r="GE44" s="71"/>
      <c r="GF44" s="71"/>
      <c r="GG44" s="71"/>
      <c r="GH44" s="71"/>
      <c r="GI44" s="71"/>
      <c r="GJ44" s="71"/>
      <c r="GK44" s="71"/>
      <c r="GL44" s="71"/>
      <c r="GM44" s="71"/>
      <c r="GN44" s="71"/>
      <c r="GO44" s="115"/>
      <c r="GP44" s="71"/>
      <c r="GQ44" s="71"/>
      <c r="GR44" s="71"/>
      <c r="GS44" s="71"/>
      <c r="GT44" s="71"/>
      <c r="GU44" s="71"/>
      <c r="GV44" s="71"/>
      <c r="GW44" s="71"/>
      <c r="GX44" s="71"/>
      <c r="GY44" s="71"/>
      <c r="GZ44" s="71"/>
      <c r="HA44" s="71"/>
      <c r="HB44" s="71"/>
      <c r="HC44" s="71"/>
      <c r="HD44" s="71"/>
      <c r="HE44" s="71"/>
      <c r="HF44" s="71"/>
      <c r="HG44" s="128"/>
      <c r="HH44" s="71"/>
      <c r="HI44" s="71"/>
      <c r="HJ44" s="71"/>
      <c r="HK44" s="71"/>
      <c r="HL44" s="71"/>
      <c r="HM44" s="71"/>
      <c r="HN44" s="71"/>
      <c r="HO44" s="71"/>
      <c r="HP44" s="71"/>
      <c r="HQ44" s="71"/>
      <c r="HR44" s="71"/>
      <c r="HS44" s="71"/>
      <c r="HT44" s="71"/>
      <c r="HU44" s="71"/>
      <c r="HV44" s="71"/>
      <c r="HW44" s="105"/>
      <c r="HX44" s="105"/>
      <c r="HY44" s="102"/>
      <c r="HZ44" s="71"/>
      <c r="IA44" s="71"/>
    </row>
    <row r="45" spans="1:235" s="26" customFormat="1">
      <c r="A45" s="71"/>
      <c r="B45" s="96"/>
      <c r="C45" s="71"/>
      <c r="D45" s="103"/>
      <c r="E45" s="71"/>
      <c r="F45" s="71"/>
      <c r="G45" s="71"/>
      <c r="H45" s="25"/>
      <c r="I45" s="71"/>
      <c r="J45" s="71"/>
      <c r="K45" s="71"/>
      <c r="L45" s="103"/>
      <c r="M45" s="71"/>
      <c r="N45" s="96"/>
      <c r="O45" s="114"/>
      <c r="P45" s="66"/>
      <c r="Q45" s="66"/>
      <c r="R45" s="71"/>
      <c r="S45" s="71"/>
      <c r="T45" s="71"/>
      <c r="U45" s="71"/>
      <c r="V45" s="71"/>
      <c r="W45" s="71"/>
      <c r="X45" s="71"/>
      <c r="Y45" s="71"/>
      <c r="Z45" s="71"/>
      <c r="AA45" s="71"/>
      <c r="AB45" s="71"/>
      <c r="AC45" s="71"/>
      <c r="AD45" s="71"/>
      <c r="AE45" s="71"/>
      <c r="AF45" s="79"/>
      <c r="AG45" s="71"/>
      <c r="AH45" s="71"/>
      <c r="AI45" s="71"/>
      <c r="AJ45" s="71"/>
      <c r="AK45" s="71"/>
      <c r="AL45" s="71"/>
      <c r="AM45" s="71"/>
      <c r="AN45" s="71"/>
      <c r="AO45" s="71"/>
      <c r="AP45" s="71"/>
      <c r="AQ45" s="71"/>
      <c r="AR45" s="71"/>
      <c r="AS45" s="71"/>
      <c r="AT45" s="71"/>
      <c r="AU45" s="71"/>
      <c r="AV45" s="71"/>
      <c r="AW45" s="71"/>
      <c r="AX45" s="118"/>
      <c r="AY45" s="71"/>
      <c r="AZ45" s="71"/>
      <c r="BA45" s="71"/>
      <c r="BB45" s="61"/>
      <c r="BC45" s="71"/>
      <c r="BD45" s="71"/>
      <c r="BE45" s="71"/>
      <c r="BF45" s="61"/>
      <c r="BG45" s="71"/>
      <c r="BH45" s="71"/>
      <c r="BI45" s="71"/>
      <c r="BJ45" s="61"/>
      <c r="BK45" s="71"/>
      <c r="BL45" s="71"/>
      <c r="BM45" s="61"/>
      <c r="BN45" s="80"/>
      <c r="BO45" s="105"/>
      <c r="BP45" s="126"/>
      <c r="BQ45" s="96"/>
      <c r="BR45" s="71"/>
      <c r="BS45" s="71"/>
      <c r="BT45" s="71"/>
      <c r="BU45" s="71"/>
      <c r="BV45" s="71"/>
      <c r="BW45" s="71"/>
      <c r="BX45" s="71"/>
      <c r="BY45" s="71"/>
      <c r="BZ45" s="71"/>
      <c r="CA45" s="71"/>
      <c r="CB45" s="71"/>
      <c r="CC45" s="71"/>
      <c r="CD45" s="71"/>
      <c r="CE45" s="71"/>
      <c r="CF45" s="71"/>
      <c r="CG45" s="71"/>
      <c r="CH45" s="71"/>
      <c r="CI45" s="115"/>
      <c r="CJ45" s="71"/>
      <c r="CK45" s="71"/>
      <c r="CL45" s="71"/>
      <c r="CM45" s="71"/>
      <c r="CN45" s="71"/>
      <c r="CO45" s="71"/>
      <c r="CP45" s="71"/>
      <c r="CQ45" s="71"/>
      <c r="CR45" s="71"/>
      <c r="CS45" s="71"/>
      <c r="CT45" s="71"/>
      <c r="CU45" s="71"/>
      <c r="CV45" s="71"/>
      <c r="CW45" s="71"/>
      <c r="CX45" s="71"/>
      <c r="CY45" s="71"/>
      <c r="CZ45" s="71"/>
      <c r="DA45" s="84"/>
      <c r="DB45" s="71"/>
      <c r="DC45" s="71"/>
      <c r="DD45" s="71"/>
      <c r="DE45" s="71"/>
      <c r="DF45" s="71"/>
      <c r="DG45" s="71"/>
      <c r="DH45" s="71"/>
      <c r="DI45" s="71"/>
      <c r="DJ45" s="71"/>
      <c r="DK45" s="71"/>
      <c r="DL45" s="71"/>
      <c r="DM45" s="71"/>
      <c r="DN45" s="71"/>
      <c r="DO45" s="71"/>
      <c r="DP45" s="61"/>
      <c r="DQ45" s="80"/>
      <c r="DR45" s="105"/>
      <c r="DS45" s="126"/>
      <c r="DT45" s="96"/>
      <c r="DU45" s="71"/>
      <c r="DV45" s="71"/>
      <c r="DW45" s="71"/>
      <c r="DX45" s="71"/>
      <c r="DY45" s="71"/>
      <c r="DZ45" s="71"/>
      <c r="EA45" s="71"/>
      <c r="EB45" s="71"/>
      <c r="EC45" s="71"/>
      <c r="ED45" s="71"/>
      <c r="EE45" s="71"/>
      <c r="EF45" s="71"/>
      <c r="EG45" s="71"/>
      <c r="EH45" s="71"/>
      <c r="EI45" s="71"/>
      <c r="EJ45" s="71"/>
      <c r="EK45" s="71"/>
      <c r="EL45" s="115"/>
      <c r="EM45" s="71"/>
      <c r="EN45" s="71"/>
      <c r="EO45" s="71"/>
      <c r="EP45" s="71"/>
      <c r="EQ45" s="71"/>
      <c r="ER45" s="71"/>
      <c r="ES45" s="71"/>
      <c r="ET45" s="71"/>
      <c r="EU45" s="71"/>
      <c r="EV45" s="71"/>
      <c r="EW45" s="71"/>
      <c r="EX45" s="71"/>
      <c r="EY45" s="71"/>
      <c r="EZ45" s="71"/>
      <c r="FA45" s="71"/>
      <c r="FB45" s="71"/>
      <c r="FC45" s="71"/>
      <c r="FD45" s="125"/>
      <c r="FE45" s="71"/>
      <c r="FF45" s="71"/>
      <c r="FG45" s="71"/>
      <c r="FH45" s="71"/>
      <c r="FI45" s="71"/>
      <c r="FJ45" s="71"/>
      <c r="FK45" s="71"/>
      <c r="FL45" s="71"/>
      <c r="FM45" s="71"/>
      <c r="FN45" s="71"/>
      <c r="FO45" s="71"/>
      <c r="FP45" s="71"/>
      <c r="FQ45" s="71"/>
      <c r="FR45" s="71"/>
      <c r="FS45" s="71"/>
      <c r="FT45" s="105"/>
      <c r="FU45" s="105"/>
      <c r="FV45" s="126"/>
      <c r="FW45" s="96"/>
      <c r="FX45" s="71"/>
      <c r="FY45" s="71"/>
      <c r="FZ45" s="71"/>
      <c r="GA45" s="71"/>
      <c r="GB45" s="71"/>
      <c r="GC45" s="71"/>
      <c r="GD45" s="71"/>
      <c r="GE45" s="71"/>
      <c r="GF45" s="71"/>
      <c r="GG45" s="71"/>
      <c r="GH45" s="71"/>
      <c r="GI45" s="71"/>
      <c r="GJ45" s="71"/>
      <c r="GK45" s="71"/>
      <c r="GL45" s="71"/>
      <c r="GM45" s="71"/>
      <c r="GN45" s="71"/>
      <c r="GO45" s="115"/>
      <c r="GP45" s="71"/>
      <c r="GQ45" s="71"/>
      <c r="GR45" s="71"/>
      <c r="GS45" s="71"/>
      <c r="GT45" s="71"/>
      <c r="GU45" s="71"/>
      <c r="GV45" s="71"/>
      <c r="GW45" s="71"/>
      <c r="GX45" s="71"/>
      <c r="GY45" s="71"/>
      <c r="GZ45" s="71"/>
      <c r="HA45" s="71"/>
      <c r="HB45" s="71"/>
      <c r="HC45" s="71"/>
      <c r="HD45" s="71"/>
      <c r="HE45" s="71"/>
      <c r="HF45" s="71"/>
      <c r="HG45" s="128"/>
      <c r="HH45" s="71"/>
      <c r="HI45" s="71"/>
      <c r="HJ45" s="71"/>
      <c r="HK45" s="71"/>
      <c r="HL45" s="71"/>
      <c r="HM45" s="71"/>
      <c r="HN45" s="71"/>
      <c r="HO45" s="71"/>
      <c r="HP45" s="71"/>
      <c r="HQ45" s="71"/>
      <c r="HR45" s="71"/>
      <c r="HS45" s="71"/>
      <c r="HT45" s="71"/>
      <c r="HU45" s="71"/>
      <c r="HV45" s="71"/>
      <c r="HW45" s="105"/>
      <c r="HX45" s="105"/>
      <c r="HY45" s="102"/>
      <c r="HZ45" s="71"/>
      <c r="IA45" s="71"/>
    </row>
    <row r="46" spans="1:235" s="26" customFormat="1">
      <c r="A46" s="71"/>
      <c r="B46" s="96"/>
      <c r="C46" s="71"/>
      <c r="D46" s="103"/>
      <c r="E46" s="71"/>
      <c r="F46" s="71"/>
      <c r="G46" s="71"/>
      <c r="H46" s="71"/>
      <c r="I46" s="71"/>
      <c r="J46" s="71"/>
      <c r="K46" s="71"/>
      <c r="L46" s="103"/>
      <c r="M46" s="71"/>
      <c r="N46" s="96"/>
      <c r="O46" s="114"/>
      <c r="P46" s="66"/>
      <c r="Q46" s="66"/>
      <c r="R46" s="71"/>
      <c r="S46" s="71"/>
      <c r="T46" s="71"/>
      <c r="U46" s="71"/>
      <c r="V46" s="71"/>
      <c r="W46" s="71"/>
      <c r="X46" s="71"/>
      <c r="Y46" s="71"/>
      <c r="Z46" s="71"/>
      <c r="AA46" s="71"/>
      <c r="AB46" s="71"/>
      <c r="AC46" s="71"/>
      <c r="AD46" s="71"/>
      <c r="AE46" s="71"/>
      <c r="AF46" s="79"/>
      <c r="AG46" s="71"/>
      <c r="AH46" s="71"/>
      <c r="AI46" s="71"/>
      <c r="AJ46" s="71"/>
      <c r="AK46" s="71"/>
      <c r="AL46" s="71"/>
      <c r="AM46" s="71"/>
      <c r="AN46" s="71"/>
      <c r="AO46" s="71"/>
      <c r="AP46" s="71"/>
      <c r="AQ46" s="71"/>
      <c r="AR46" s="71"/>
      <c r="AS46" s="71"/>
      <c r="AT46" s="71"/>
      <c r="AU46" s="71"/>
      <c r="AV46" s="71"/>
      <c r="AW46" s="71"/>
      <c r="AX46" s="118"/>
      <c r="AY46" s="71"/>
      <c r="AZ46" s="71"/>
      <c r="BA46" s="71"/>
      <c r="BB46" s="61"/>
      <c r="BC46" s="71"/>
      <c r="BD46" s="71"/>
      <c r="BE46" s="71"/>
      <c r="BF46" s="61"/>
      <c r="BG46" s="71"/>
      <c r="BH46" s="71"/>
      <c r="BI46" s="71"/>
      <c r="BJ46" s="61"/>
      <c r="BK46" s="71"/>
      <c r="BL46" s="71"/>
      <c r="BM46" s="61"/>
      <c r="BN46" s="80"/>
      <c r="BO46" s="124"/>
      <c r="BP46" s="102"/>
      <c r="BQ46" s="96"/>
      <c r="BR46" s="71"/>
      <c r="BS46" s="71"/>
      <c r="BT46" s="71"/>
      <c r="BU46" s="71"/>
      <c r="BV46" s="71"/>
      <c r="BW46" s="71"/>
      <c r="BX46" s="71"/>
      <c r="BY46" s="71"/>
      <c r="BZ46" s="71"/>
      <c r="CA46" s="71"/>
      <c r="CB46" s="71"/>
      <c r="CC46" s="71"/>
      <c r="CD46" s="71"/>
      <c r="CE46" s="71"/>
      <c r="CF46" s="71"/>
      <c r="CG46" s="71"/>
      <c r="CH46" s="71"/>
      <c r="CI46" s="115"/>
      <c r="CJ46" s="71"/>
      <c r="CK46" s="71"/>
      <c r="CL46" s="71"/>
      <c r="CM46" s="71"/>
      <c r="CN46" s="71"/>
      <c r="CO46" s="71"/>
      <c r="CP46" s="71"/>
      <c r="CQ46" s="71"/>
      <c r="CR46" s="71"/>
      <c r="CS46" s="71"/>
      <c r="CT46" s="71"/>
      <c r="CU46" s="71"/>
      <c r="CV46" s="71"/>
      <c r="CW46" s="71"/>
      <c r="CX46" s="71"/>
      <c r="CY46" s="71"/>
      <c r="CZ46" s="71"/>
      <c r="DA46" s="125"/>
      <c r="DB46" s="71"/>
      <c r="DC46" s="71"/>
      <c r="DD46" s="71"/>
      <c r="DE46" s="71"/>
      <c r="DF46" s="71"/>
      <c r="DG46" s="71"/>
      <c r="DH46" s="71"/>
      <c r="DI46" s="71"/>
      <c r="DJ46" s="71"/>
      <c r="DK46" s="71"/>
      <c r="DL46" s="71"/>
      <c r="DM46" s="71"/>
      <c r="DN46" s="71"/>
      <c r="DO46" s="71"/>
      <c r="DP46" s="61"/>
      <c r="DQ46" s="80"/>
      <c r="DR46" s="105"/>
      <c r="DS46" s="126"/>
      <c r="DT46" s="96"/>
      <c r="DU46" s="71"/>
      <c r="DV46" s="71"/>
      <c r="DW46" s="71"/>
      <c r="DX46" s="71"/>
      <c r="DY46" s="71"/>
      <c r="DZ46" s="71"/>
      <c r="EA46" s="71"/>
      <c r="EB46" s="71"/>
      <c r="EC46" s="71"/>
      <c r="ED46" s="71"/>
      <c r="EE46" s="71"/>
      <c r="EF46" s="71"/>
      <c r="EG46" s="71"/>
      <c r="EH46" s="71"/>
      <c r="EI46" s="71"/>
      <c r="EJ46" s="71"/>
      <c r="EK46" s="71"/>
      <c r="EL46" s="115"/>
      <c r="EM46" s="71"/>
      <c r="EN46" s="71"/>
      <c r="EO46" s="71"/>
      <c r="EP46" s="71"/>
      <c r="EQ46" s="71"/>
      <c r="ER46" s="71"/>
      <c r="ES46" s="71"/>
      <c r="ET46" s="71"/>
      <c r="EU46" s="71"/>
      <c r="EV46" s="71"/>
      <c r="EW46" s="71"/>
      <c r="EX46" s="71"/>
      <c r="EY46" s="71"/>
      <c r="EZ46" s="71"/>
      <c r="FA46" s="71"/>
      <c r="FB46" s="71"/>
      <c r="FC46" s="71"/>
      <c r="FD46" s="125"/>
      <c r="FE46" s="71"/>
      <c r="FF46" s="71"/>
      <c r="FG46" s="71"/>
      <c r="FH46" s="71"/>
      <c r="FI46" s="71"/>
      <c r="FJ46" s="71"/>
      <c r="FK46" s="71"/>
      <c r="FL46" s="71"/>
      <c r="FM46" s="71"/>
      <c r="FN46" s="71"/>
      <c r="FO46" s="71"/>
      <c r="FP46" s="71"/>
      <c r="FQ46" s="71"/>
      <c r="FR46" s="71"/>
      <c r="FS46" s="71"/>
      <c r="FT46" s="105"/>
      <c r="FU46" s="105"/>
      <c r="FV46" s="126"/>
      <c r="FW46" s="96"/>
      <c r="FX46" s="71"/>
      <c r="FY46" s="71"/>
      <c r="FZ46" s="71"/>
      <c r="GA46" s="71"/>
      <c r="GB46" s="71"/>
      <c r="GC46" s="71"/>
      <c r="GD46" s="71"/>
      <c r="GE46" s="71"/>
      <c r="GF46" s="71"/>
      <c r="GG46" s="71"/>
      <c r="GH46" s="71"/>
      <c r="GI46" s="71"/>
      <c r="GJ46" s="71"/>
      <c r="GK46" s="71"/>
      <c r="GL46" s="71"/>
      <c r="GM46" s="71"/>
      <c r="GN46" s="71"/>
      <c r="GO46" s="115"/>
      <c r="GP46" s="71"/>
      <c r="GQ46" s="71"/>
      <c r="GR46" s="71"/>
      <c r="GS46" s="71"/>
      <c r="GT46" s="71"/>
      <c r="GU46" s="71"/>
      <c r="GV46" s="71"/>
      <c r="GW46" s="71"/>
      <c r="GX46" s="71"/>
      <c r="GY46" s="71"/>
      <c r="GZ46" s="71"/>
      <c r="HA46" s="71"/>
      <c r="HB46" s="71"/>
      <c r="HC46" s="71"/>
      <c r="HD46" s="71"/>
      <c r="HE46" s="71"/>
      <c r="HF46" s="71"/>
      <c r="HG46" s="128"/>
      <c r="HH46" s="71"/>
      <c r="HI46" s="71"/>
      <c r="HJ46" s="71"/>
      <c r="HK46" s="71"/>
      <c r="HL46" s="71"/>
      <c r="HM46" s="71"/>
      <c r="HN46" s="71"/>
      <c r="HO46" s="71"/>
      <c r="HP46" s="71"/>
      <c r="HQ46" s="71"/>
      <c r="HR46" s="71"/>
      <c r="HS46" s="71"/>
      <c r="HT46" s="71"/>
      <c r="HU46" s="71"/>
      <c r="HV46" s="71"/>
      <c r="HW46" s="105"/>
      <c r="HX46" s="105"/>
      <c r="HY46" s="102"/>
      <c r="HZ46" s="71"/>
      <c r="IA46" s="71"/>
    </row>
    <row r="47" spans="1:235" s="26" customFormat="1">
      <c r="A47" s="71"/>
      <c r="B47" s="96"/>
      <c r="C47" s="71"/>
      <c r="D47" s="103"/>
      <c r="E47" s="71"/>
      <c r="F47" s="71"/>
      <c r="G47" s="71"/>
      <c r="H47" s="71"/>
      <c r="I47" s="71"/>
      <c r="J47" s="71"/>
      <c r="K47" s="71"/>
      <c r="L47" s="103"/>
      <c r="M47" s="71"/>
      <c r="N47" s="96"/>
      <c r="O47" s="114"/>
      <c r="P47" s="66"/>
      <c r="Q47" s="66"/>
      <c r="R47" s="71"/>
      <c r="S47" s="71"/>
      <c r="T47" s="71"/>
      <c r="U47" s="71"/>
      <c r="V47" s="71"/>
      <c r="W47" s="71"/>
      <c r="X47" s="71"/>
      <c r="Y47" s="71"/>
      <c r="Z47" s="71"/>
      <c r="AA47" s="71"/>
      <c r="AB47" s="71"/>
      <c r="AC47" s="71"/>
      <c r="AD47" s="71"/>
      <c r="AE47" s="71"/>
      <c r="AF47" s="115"/>
      <c r="AG47" s="71"/>
      <c r="AH47" s="71"/>
      <c r="AI47" s="71"/>
      <c r="AJ47" s="71"/>
      <c r="AK47" s="71"/>
      <c r="AL47" s="71"/>
      <c r="AM47" s="71"/>
      <c r="AN47" s="71"/>
      <c r="AO47" s="71"/>
      <c r="AP47" s="71"/>
      <c r="AQ47" s="71"/>
      <c r="AR47" s="71"/>
      <c r="AS47" s="71"/>
      <c r="AT47" s="71"/>
      <c r="AU47" s="71"/>
      <c r="AV47" s="71"/>
      <c r="AW47" s="71"/>
      <c r="AX47" s="118"/>
      <c r="AY47" s="71"/>
      <c r="AZ47" s="71"/>
      <c r="BA47" s="71"/>
      <c r="BB47" s="61"/>
      <c r="BC47" s="71"/>
      <c r="BD47" s="71"/>
      <c r="BE47" s="71"/>
      <c r="BF47" s="61"/>
      <c r="BG47" s="71"/>
      <c r="BH47" s="71"/>
      <c r="BI47" s="71"/>
      <c r="BJ47" s="61"/>
      <c r="BK47" s="71"/>
      <c r="BL47" s="71"/>
      <c r="BM47" s="61"/>
      <c r="BN47" s="80"/>
      <c r="BO47" s="124"/>
      <c r="BP47" s="102"/>
      <c r="BQ47" s="96"/>
      <c r="BR47" s="71"/>
      <c r="BS47" s="71"/>
      <c r="BT47" s="71"/>
      <c r="BU47" s="71"/>
      <c r="BV47" s="71"/>
      <c r="BW47" s="71"/>
      <c r="BX47" s="71"/>
      <c r="BY47" s="71"/>
      <c r="BZ47" s="71"/>
      <c r="CA47" s="71"/>
      <c r="CB47" s="71"/>
      <c r="CC47" s="71"/>
      <c r="CD47" s="71"/>
      <c r="CE47" s="71"/>
      <c r="CF47" s="71"/>
      <c r="CG47" s="71"/>
      <c r="CH47" s="71"/>
      <c r="CI47" s="115"/>
      <c r="CJ47" s="71"/>
      <c r="CK47" s="71"/>
      <c r="CL47" s="71"/>
      <c r="CM47" s="71"/>
      <c r="CN47" s="71"/>
      <c r="CO47" s="71"/>
      <c r="CP47" s="71"/>
      <c r="CQ47" s="71"/>
      <c r="CR47" s="71"/>
      <c r="CS47" s="71"/>
      <c r="CT47" s="71"/>
      <c r="CU47" s="71"/>
      <c r="CV47" s="71"/>
      <c r="CW47" s="71"/>
      <c r="CX47" s="71"/>
      <c r="CY47" s="71"/>
      <c r="CZ47" s="71"/>
      <c r="DA47" s="125"/>
      <c r="DB47" s="71"/>
      <c r="DC47" s="71"/>
      <c r="DD47" s="71"/>
      <c r="DE47" s="71"/>
      <c r="DF47" s="71"/>
      <c r="DG47" s="71"/>
      <c r="DH47" s="71"/>
      <c r="DI47" s="71"/>
      <c r="DJ47" s="71"/>
      <c r="DK47" s="71"/>
      <c r="DL47" s="71"/>
      <c r="DM47" s="71"/>
      <c r="DN47" s="71"/>
      <c r="DO47" s="71"/>
      <c r="DP47" s="61"/>
      <c r="DQ47" s="80"/>
      <c r="DR47" s="105"/>
      <c r="DS47" s="126"/>
      <c r="DT47" s="96"/>
      <c r="DU47" s="71"/>
      <c r="DV47" s="71"/>
      <c r="DW47" s="71"/>
      <c r="DX47" s="71"/>
      <c r="DY47" s="71"/>
      <c r="DZ47" s="71"/>
      <c r="EA47" s="71"/>
      <c r="EB47" s="71"/>
      <c r="EC47" s="71"/>
      <c r="ED47" s="71"/>
      <c r="EE47" s="71"/>
      <c r="EF47" s="71"/>
      <c r="EG47" s="71"/>
      <c r="EH47" s="71"/>
      <c r="EI47" s="71"/>
      <c r="EJ47" s="71"/>
      <c r="EK47" s="71"/>
      <c r="EL47" s="115"/>
      <c r="EM47" s="71"/>
      <c r="EN47" s="71"/>
      <c r="EO47" s="71"/>
      <c r="EP47" s="71"/>
      <c r="EQ47" s="71"/>
      <c r="ER47" s="71"/>
      <c r="ES47" s="71"/>
      <c r="ET47" s="71"/>
      <c r="EU47" s="71"/>
      <c r="EV47" s="71"/>
      <c r="EW47" s="71"/>
      <c r="EX47" s="71"/>
      <c r="EY47" s="71"/>
      <c r="EZ47" s="71"/>
      <c r="FA47" s="71"/>
      <c r="FB47" s="71"/>
      <c r="FC47" s="71"/>
      <c r="FD47" s="125"/>
      <c r="FE47" s="71"/>
      <c r="FF47" s="71"/>
      <c r="FG47" s="71"/>
      <c r="FH47" s="71"/>
      <c r="FI47" s="71"/>
      <c r="FJ47" s="71"/>
      <c r="FK47" s="71"/>
      <c r="FL47" s="71"/>
      <c r="FM47" s="71"/>
      <c r="FN47" s="71"/>
      <c r="FO47" s="71"/>
      <c r="FP47" s="71"/>
      <c r="FQ47" s="71"/>
      <c r="FR47" s="71"/>
      <c r="FS47" s="71"/>
      <c r="FT47" s="105"/>
      <c r="FU47" s="105"/>
      <c r="FV47" s="126"/>
      <c r="FW47" s="96"/>
      <c r="FX47" s="71"/>
      <c r="FY47" s="71"/>
      <c r="FZ47" s="71"/>
      <c r="GA47" s="71"/>
      <c r="GB47" s="71"/>
      <c r="GC47" s="71"/>
      <c r="GD47" s="71"/>
      <c r="GE47" s="71"/>
      <c r="GF47" s="71"/>
      <c r="GG47" s="71"/>
      <c r="GH47" s="71"/>
      <c r="GI47" s="71"/>
      <c r="GJ47" s="71"/>
      <c r="GK47" s="71"/>
      <c r="GL47" s="71"/>
      <c r="GM47" s="71"/>
      <c r="GN47" s="71"/>
      <c r="GO47" s="115"/>
      <c r="GP47" s="71"/>
      <c r="GQ47" s="71"/>
      <c r="GR47" s="71"/>
      <c r="GS47" s="71"/>
      <c r="GT47" s="71"/>
      <c r="GU47" s="71"/>
      <c r="GV47" s="71"/>
      <c r="GW47" s="71"/>
      <c r="GX47" s="71"/>
      <c r="GY47" s="71"/>
      <c r="GZ47" s="71"/>
      <c r="HA47" s="71"/>
      <c r="HB47" s="71"/>
      <c r="HC47" s="71"/>
      <c r="HD47" s="71"/>
      <c r="HE47" s="71"/>
      <c r="HF47" s="71"/>
      <c r="HG47" s="128"/>
      <c r="HH47" s="71"/>
      <c r="HI47" s="71"/>
      <c r="HJ47" s="71"/>
      <c r="HK47" s="71"/>
      <c r="HL47" s="71"/>
      <c r="HM47" s="71"/>
      <c r="HN47" s="71"/>
      <c r="HO47" s="71"/>
      <c r="HP47" s="71"/>
      <c r="HQ47" s="71"/>
      <c r="HR47" s="71"/>
      <c r="HS47" s="71"/>
      <c r="HT47" s="71"/>
      <c r="HU47" s="71"/>
      <c r="HV47" s="71"/>
      <c r="HW47" s="105"/>
      <c r="HX47" s="105"/>
      <c r="HY47" s="102"/>
      <c r="HZ47" s="71"/>
      <c r="IA47" s="71"/>
    </row>
    <row r="48" spans="1:235" s="26" customFormat="1">
      <c r="A48" s="71"/>
      <c r="B48" s="96"/>
      <c r="C48" s="71"/>
      <c r="D48" s="103"/>
      <c r="E48" s="71"/>
      <c r="F48" s="71"/>
      <c r="G48" s="71"/>
      <c r="H48" s="71"/>
      <c r="I48" s="71"/>
      <c r="J48" s="71"/>
      <c r="K48" s="71"/>
      <c r="L48" s="103"/>
      <c r="M48" s="71"/>
      <c r="N48" s="96"/>
      <c r="O48" s="114"/>
      <c r="P48" s="71"/>
      <c r="Q48" s="66"/>
      <c r="R48" s="71"/>
      <c r="S48" s="71"/>
      <c r="T48" s="71"/>
      <c r="U48" s="71"/>
      <c r="V48" s="71"/>
      <c r="W48" s="71"/>
      <c r="X48" s="71"/>
      <c r="Y48" s="71"/>
      <c r="Z48" s="71"/>
      <c r="AA48" s="71"/>
      <c r="AB48" s="71"/>
      <c r="AC48" s="71"/>
      <c r="AD48" s="71"/>
      <c r="AE48" s="71"/>
      <c r="AF48" s="115"/>
      <c r="AG48" s="71"/>
      <c r="AH48" s="71"/>
      <c r="AI48" s="71"/>
      <c r="AJ48" s="71"/>
      <c r="AK48" s="71"/>
      <c r="AL48" s="71"/>
      <c r="AM48" s="71"/>
      <c r="AN48" s="71"/>
      <c r="AO48" s="71"/>
      <c r="AP48" s="71"/>
      <c r="AQ48" s="71"/>
      <c r="AR48" s="71"/>
      <c r="AS48" s="71"/>
      <c r="AT48" s="71"/>
      <c r="AU48" s="71"/>
      <c r="AV48" s="71"/>
      <c r="AW48" s="71"/>
      <c r="AX48" s="118"/>
      <c r="AY48" s="71"/>
      <c r="AZ48" s="71"/>
      <c r="BA48" s="71"/>
      <c r="BB48" s="61"/>
      <c r="BC48" s="71"/>
      <c r="BD48" s="71"/>
      <c r="BE48" s="71"/>
      <c r="BF48" s="61"/>
      <c r="BG48" s="71"/>
      <c r="BH48" s="71"/>
      <c r="BI48" s="71"/>
      <c r="BJ48" s="61"/>
      <c r="BK48" s="71"/>
      <c r="BL48" s="71"/>
      <c r="BM48" s="61"/>
      <c r="BN48" s="80"/>
      <c r="BO48" s="105"/>
      <c r="BP48" s="126"/>
      <c r="BQ48" s="96"/>
      <c r="BR48" s="71"/>
      <c r="BS48" s="71"/>
      <c r="BT48" s="71"/>
      <c r="BU48" s="71"/>
      <c r="BV48" s="71"/>
      <c r="BW48" s="71"/>
      <c r="BX48" s="71"/>
      <c r="BY48" s="71"/>
      <c r="BZ48" s="71"/>
      <c r="CA48" s="71"/>
      <c r="CB48" s="71"/>
      <c r="CC48" s="71"/>
      <c r="CD48" s="71"/>
      <c r="CE48" s="71"/>
      <c r="CF48" s="71"/>
      <c r="CG48" s="71"/>
      <c r="CH48" s="71"/>
      <c r="CI48" s="115"/>
      <c r="CJ48" s="71"/>
      <c r="CK48" s="71"/>
      <c r="CL48" s="71"/>
      <c r="CM48" s="71"/>
      <c r="CN48" s="71"/>
      <c r="CO48" s="71"/>
      <c r="CP48" s="71"/>
      <c r="CQ48" s="71"/>
      <c r="CR48" s="71"/>
      <c r="CS48" s="71"/>
      <c r="CT48" s="71"/>
      <c r="CU48" s="71"/>
      <c r="CV48" s="71"/>
      <c r="CW48" s="71"/>
      <c r="CX48" s="71"/>
      <c r="CY48" s="71"/>
      <c r="CZ48" s="71"/>
      <c r="DA48" s="125"/>
      <c r="DB48" s="71"/>
      <c r="DC48" s="71"/>
      <c r="DD48" s="71"/>
      <c r="DE48" s="71"/>
      <c r="DF48" s="71"/>
      <c r="DG48" s="71"/>
      <c r="DH48" s="71"/>
      <c r="DI48" s="71"/>
      <c r="DJ48" s="71"/>
      <c r="DK48" s="71"/>
      <c r="DL48" s="71"/>
      <c r="DM48" s="71"/>
      <c r="DN48" s="71"/>
      <c r="DO48" s="71"/>
      <c r="DP48" s="61"/>
      <c r="DQ48" s="80"/>
      <c r="DR48" s="105"/>
      <c r="DS48" s="126"/>
      <c r="DT48" s="96"/>
      <c r="DU48" s="71"/>
      <c r="DV48" s="71"/>
      <c r="DW48" s="71"/>
      <c r="DX48" s="71"/>
      <c r="DY48" s="71"/>
      <c r="DZ48" s="71"/>
      <c r="EA48" s="71"/>
      <c r="EB48" s="71"/>
      <c r="EC48" s="71"/>
      <c r="ED48" s="71"/>
      <c r="EE48" s="71"/>
      <c r="EF48" s="71"/>
      <c r="EG48" s="71"/>
      <c r="EH48" s="71"/>
      <c r="EI48" s="71"/>
      <c r="EJ48" s="71"/>
      <c r="EK48" s="71"/>
      <c r="EL48" s="115"/>
      <c r="EM48" s="71"/>
      <c r="EN48" s="71"/>
      <c r="EO48" s="71"/>
      <c r="EP48" s="71"/>
      <c r="EQ48" s="71"/>
      <c r="ER48" s="71"/>
      <c r="ES48" s="71"/>
      <c r="ET48" s="71"/>
      <c r="EU48" s="71"/>
      <c r="EV48" s="71"/>
      <c r="EW48" s="71"/>
      <c r="EX48" s="71"/>
      <c r="EY48" s="71"/>
      <c r="EZ48" s="71"/>
      <c r="FA48" s="71"/>
      <c r="FB48" s="71"/>
      <c r="FC48" s="71"/>
      <c r="FD48" s="125"/>
      <c r="FE48" s="71"/>
      <c r="FF48" s="71"/>
      <c r="FG48" s="71"/>
      <c r="FH48" s="71"/>
      <c r="FI48" s="71"/>
      <c r="FJ48" s="71"/>
      <c r="FK48" s="71"/>
      <c r="FL48" s="71"/>
      <c r="FM48" s="71"/>
      <c r="FN48" s="71"/>
      <c r="FO48" s="71"/>
      <c r="FP48" s="71"/>
      <c r="FQ48" s="71"/>
      <c r="FR48" s="71"/>
      <c r="FS48" s="71"/>
      <c r="FT48" s="105"/>
      <c r="FU48" s="105"/>
      <c r="FV48" s="126"/>
      <c r="FW48" s="96"/>
      <c r="FX48" s="71"/>
      <c r="FY48" s="71"/>
      <c r="FZ48" s="71"/>
      <c r="GA48" s="71"/>
      <c r="GB48" s="71"/>
      <c r="GC48" s="71"/>
      <c r="GD48" s="71"/>
      <c r="GE48" s="71"/>
      <c r="GF48" s="71"/>
      <c r="GG48" s="71"/>
      <c r="GH48" s="71"/>
      <c r="GI48" s="71"/>
      <c r="GJ48" s="71"/>
      <c r="GK48" s="71"/>
      <c r="GL48" s="71"/>
      <c r="GM48" s="71"/>
      <c r="GN48" s="71"/>
      <c r="GO48" s="115"/>
      <c r="GP48" s="71"/>
      <c r="GQ48" s="71"/>
      <c r="GR48" s="71"/>
      <c r="GS48" s="71"/>
      <c r="GT48" s="71"/>
      <c r="GU48" s="71"/>
      <c r="GV48" s="71"/>
      <c r="GW48" s="71"/>
      <c r="GX48" s="71"/>
      <c r="GY48" s="71"/>
      <c r="GZ48" s="71"/>
      <c r="HA48" s="71"/>
      <c r="HB48" s="71"/>
      <c r="HC48" s="71"/>
      <c r="HD48" s="71"/>
      <c r="HE48" s="71"/>
      <c r="HF48" s="71"/>
      <c r="HG48" s="128"/>
      <c r="HH48" s="71"/>
      <c r="HI48" s="71"/>
      <c r="HJ48" s="71"/>
      <c r="HK48" s="71"/>
      <c r="HL48" s="71"/>
      <c r="HM48" s="71"/>
      <c r="HN48" s="71"/>
      <c r="HO48" s="71"/>
      <c r="HP48" s="71"/>
      <c r="HQ48" s="71"/>
      <c r="HR48" s="71"/>
      <c r="HS48" s="71"/>
      <c r="HT48" s="71"/>
      <c r="HU48" s="71"/>
      <c r="HV48" s="71"/>
      <c r="HW48" s="105"/>
      <c r="HX48" s="105"/>
      <c r="HY48" s="102"/>
      <c r="HZ48" s="71"/>
      <c r="IA48" s="71"/>
    </row>
    <row r="49" spans="1:233" s="26" customFormat="1">
      <c r="B49" s="99"/>
      <c r="D49" s="104"/>
      <c r="L49" s="104"/>
      <c r="N49" s="99"/>
      <c r="AF49" s="100"/>
      <c r="AX49" s="118"/>
      <c r="AY49" s="71"/>
      <c r="AZ49" s="71"/>
      <c r="BA49" s="71"/>
      <c r="BB49" s="61"/>
      <c r="BC49" s="71"/>
      <c r="BD49" s="71"/>
      <c r="BE49" s="71"/>
      <c r="BF49" s="61"/>
      <c r="BG49" s="71"/>
      <c r="BH49" s="71"/>
      <c r="BI49" s="71"/>
      <c r="BJ49" s="61"/>
      <c r="BK49" s="71"/>
      <c r="BL49" s="71"/>
      <c r="BM49" s="61"/>
      <c r="BN49" s="80"/>
      <c r="BO49" s="97"/>
      <c r="BP49" s="98"/>
      <c r="BQ49" s="99"/>
      <c r="CI49" s="100"/>
      <c r="DA49" s="101"/>
      <c r="DB49" s="71"/>
      <c r="DC49" s="71"/>
      <c r="DD49" s="71"/>
      <c r="DE49" s="71"/>
      <c r="DF49" s="71"/>
      <c r="DG49" s="71"/>
      <c r="DH49" s="71"/>
      <c r="DI49" s="71"/>
      <c r="DJ49" s="71"/>
      <c r="DK49" s="71"/>
      <c r="DL49" s="71"/>
      <c r="DM49" s="71"/>
      <c r="DN49" s="71"/>
      <c r="DO49" s="71"/>
      <c r="DP49" s="61"/>
      <c r="DQ49" s="80"/>
      <c r="DR49" s="97"/>
      <c r="DS49" s="98"/>
      <c r="DT49" s="99"/>
      <c r="EL49" s="100"/>
      <c r="FD49" s="101"/>
      <c r="FT49" s="97"/>
      <c r="FU49" s="97"/>
      <c r="FV49" s="98"/>
      <c r="FW49" s="99"/>
      <c r="GO49" s="100"/>
      <c r="HG49" s="122"/>
      <c r="HW49" s="97"/>
      <c r="HX49" s="97"/>
      <c r="HY49" s="102"/>
    </row>
    <row r="50" spans="1:233" s="26" customFormat="1">
      <c r="B50" s="99"/>
      <c r="D50" s="104"/>
      <c r="L50" s="104"/>
      <c r="N50" s="99"/>
      <c r="AF50" s="100"/>
      <c r="AX50" s="118"/>
      <c r="AY50" s="71"/>
      <c r="AZ50" s="71"/>
      <c r="BA50" s="71"/>
      <c r="BB50" s="61"/>
      <c r="BC50" s="71"/>
      <c r="BD50" s="71"/>
      <c r="BE50" s="71"/>
      <c r="BF50" s="61"/>
      <c r="BG50" s="71"/>
      <c r="BH50" s="71"/>
      <c r="BI50" s="71"/>
      <c r="BJ50" s="71"/>
      <c r="BK50" s="71"/>
      <c r="BL50" s="71"/>
      <c r="BM50" s="61"/>
      <c r="BN50" s="105"/>
      <c r="BO50" s="97"/>
      <c r="BP50" s="98"/>
      <c r="BQ50" s="99"/>
      <c r="CI50" s="100"/>
      <c r="DA50" s="101"/>
      <c r="DB50" s="71"/>
      <c r="DC50" s="71"/>
      <c r="DD50" s="71"/>
      <c r="DE50" s="71"/>
      <c r="DF50" s="71"/>
      <c r="DG50" s="71"/>
      <c r="DH50" s="71"/>
      <c r="DI50" s="71"/>
      <c r="DJ50" s="71"/>
      <c r="DK50" s="71"/>
      <c r="DL50" s="71"/>
      <c r="DM50" s="71"/>
      <c r="DN50" s="71"/>
      <c r="DO50" s="71"/>
      <c r="DP50" s="61"/>
      <c r="DQ50" s="80"/>
      <c r="DR50" s="97"/>
      <c r="DS50" s="98"/>
      <c r="DT50" s="99"/>
      <c r="EL50" s="100"/>
      <c r="FD50" s="101"/>
      <c r="FT50" s="97"/>
      <c r="FU50" s="97"/>
      <c r="FV50" s="98"/>
      <c r="FW50" s="99"/>
      <c r="GO50" s="100"/>
      <c r="HG50" s="122"/>
      <c r="HW50" s="97"/>
      <c r="HX50" s="97"/>
      <c r="HY50" s="102"/>
    </row>
    <row r="51" spans="1:233" s="26" customFormat="1">
      <c r="B51" s="99"/>
      <c r="D51" s="104"/>
      <c r="L51" s="104"/>
      <c r="N51" s="99"/>
      <c r="AF51" s="100"/>
      <c r="AX51" s="118"/>
      <c r="AY51" s="71"/>
      <c r="AZ51" s="71"/>
      <c r="BA51" s="71"/>
      <c r="BB51" s="61"/>
      <c r="BC51" s="71"/>
      <c r="BD51" s="71"/>
      <c r="BE51" s="71"/>
      <c r="BF51" s="61"/>
      <c r="BG51" s="71"/>
      <c r="BH51" s="71"/>
      <c r="BI51" s="71"/>
      <c r="BJ51" s="71"/>
      <c r="BK51" s="71"/>
      <c r="BL51" s="71"/>
      <c r="BM51" s="71"/>
      <c r="BN51" s="105"/>
      <c r="BO51" s="97"/>
      <c r="BP51" s="98"/>
      <c r="BQ51" s="99"/>
      <c r="CI51" s="100"/>
      <c r="DA51" s="101"/>
      <c r="DB51" s="71"/>
      <c r="DC51" s="71"/>
      <c r="DD51" s="71"/>
      <c r="DE51" s="71"/>
      <c r="DF51" s="71"/>
      <c r="DG51" s="71"/>
      <c r="DH51" s="71"/>
      <c r="DI51" s="71"/>
      <c r="DJ51" s="71"/>
      <c r="DK51" s="71"/>
      <c r="DL51" s="71"/>
      <c r="DM51" s="71"/>
      <c r="DN51" s="71"/>
      <c r="DO51" s="71"/>
      <c r="DP51" s="61"/>
      <c r="DQ51" s="105"/>
      <c r="DR51" s="97"/>
      <c r="DS51" s="98"/>
      <c r="DT51" s="99"/>
      <c r="EL51" s="100"/>
      <c r="FD51" s="101"/>
      <c r="FT51" s="97"/>
      <c r="FU51" s="97"/>
      <c r="FV51" s="98"/>
      <c r="FW51" s="99"/>
      <c r="GO51" s="100"/>
      <c r="HG51" s="122"/>
      <c r="HW51" s="97"/>
      <c r="HX51" s="97"/>
      <c r="HY51" s="102"/>
    </row>
    <row r="52" spans="1:233" s="26" customFormat="1">
      <c r="B52" s="99"/>
      <c r="D52" s="106"/>
      <c r="L52" s="104"/>
      <c r="N52" s="99"/>
      <c r="O52" s="25"/>
      <c r="AF52" s="100"/>
      <c r="AX52" s="118"/>
      <c r="AY52" s="71"/>
      <c r="AZ52" s="71"/>
      <c r="BA52" s="71"/>
      <c r="BB52" s="61"/>
      <c r="BC52" s="71"/>
      <c r="BD52" s="71"/>
      <c r="BE52" s="71"/>
      <c r="BF52" s="61"/>
      <c r="BG52" s="71"/>
      <c r="BH52" s="71"/>
      <c r="BI52" s="71"/>
      <c r="BJ52" s="71"/>
      <c r="BK52" s="71"/>
      <c r="BL52" s="71"/>
      <c r="BM52" s="71"/>
      <c r="BN52" s="105"/>
      <c r="BO52" s="97"/>
      <c r="BP52" s="98"/>
      <c r="BQ52" s="99"/>
      <c r="CI52" s="100"/>
      <c r="DA52" s="101"/>
      <c r="DB52" s="71"/>
      <c r="DC52" s="71"/>
      <c r="DD52" s="71"/>
      <c r="DE52" s="71"/>
      <c r="DF52" s="71"/>
      <c r="DG52" s="71"/>
      <c r="DH52" s="71"/>
      <c r="DI52" s="71"/>
      <c r="DJ52" s="71"/>
      <c r="DK52" s="71"/>
      <c r="DL52" s="71"/>
      <c r="DM52" s="71"/>
      <c r="DN52" s="71"/>
      <c r="DO52" s="71"/>
      <c r="DP52" s="61"/>
      <c r="DQ52" s="105"/>
      <c r="DR52" s="97"/>
      <c r="DS52" s="98"/>
      <c r="DT52" s="99"/>
      <c r="EL52" s="100"/>
      <c r="FD52" s="101"/>
      <c r="FM52" s="71"/>
      <c r="FN52" s="71"/>
      <c r="FO52" s="71"/>
      <c r="FP52" s="71"/>
      <c r="FQ52" s="71"/>
      <c r="FR52" s="71"/>
      <c r="FS52" s="71"/>
      <c r="FT52" s="105"/>
      <c r="FU52" s="97"/>
      <c r="FV52" s="98"/>
      <c r="FW52" s="99"/>
      <c r="GO52" s="100"/>
      <c r="HG52" s="122"/>
      <c r="HW52" s="97"/>
      <c r="HX52" s="97"/>
      <c r="HY52" s="102"/>
    </row>
    <row r="53" spans="1:233" s="26" customFormat="1">
      <c r="B53" s="99"/>
      <c r="D53" s="106"/>
      <c r="L53" s="104"/>
      <c r="N53" s="99"/>
      <c r="AF53" s="100"/>
      <c r="AX53" s="118"/>
      <c r="AY53" s="71"/>
      <c r="AZ53" s="71"/>
      <c r="BA53" s="71"/>
      <c r="BB53" s="71"/>
      <c r="BC53" s="71"/>
      <c r="BD53" s="71"/>
      <c r="BE53" s="71"/>
      <c r="BF53" s="61"/>
      <c r="BG53" s="71"/>
      <c r="BH53" s="71"/>
      <c r="BI53" s="71"/>
      <c r="BJ53" s="71"/>
      <c r="BK53" s="71"/>
      <c r="BL53" s="71"/>
      <c r="BM53" s="71"/>
      <c r="BN53" s="105"/>
      <c r="BO53" s="97"/>
      <c r="BP53" s="98"/>
      <c r="BQ53" s="99"/>
      <c r="CI53" s="100"/>
      <c r="DA53" s="101"/>
      <c r="DB53" s="71"/>
      <c r="DC53" s="71"/>
      <c r="DD53" s="71"/>
      <c r="DE53" s="71"/>
      <c r="DF53" s="71"/>
      <c r="DG53" s="71"/>
      <c r="DH53" s="71"/>
      <c r="DI53" s="71"/>
      <c r="DJ53" s="71"/>
      <c r="DK53" s="71"/>
      <c r="DL53" s="71"/>
      <c r="DM53" s="71"/>
      <c r="DN53" s="71"/>
      <c r="DO53" s="71"/>
      <c r="DP53" s="61"/>
      <c r="DQ53" s="105"/>
      <c r="DR53" s="97"/>
      <c r="DS53" s="98"/>
      <c r="DT53" s="99"/>
      <c r="EL53" s="100"/>
      <c r="FD53" s="101"/>
      <c r="FM53" s="71"/>
      <c r="FN53" s="71"/>
      <c r="FO53" s="71"/>
      <c r="FP53" s="71"/>
      <c r="FQ53" s="71"/>
      <c r="FR53" s="71"/>
      <c r="FS53" s="71"/>
      <c r="FT53" s="105"/>
      <c r="FU53" s="97"/>
      <c r="FV53" s="98"/>
      <c r="FW53" s="99"/>
      <c r="GO53" s="100"/>
      <c r="HG53" s="122"/>
      <c r="HW53" s="97"/>
      <c r="HX53" s="97"/>
      <c r="HY53" s="102"/>
    </row>
    <row r="54" spans="1:233" s="26" customFormat="1">
      <c r="B54" s="99"/>
      <c r="D54" s="106"/>
      <c r="L54" s="104"/>
      <c r="N54" s="99"/>
      <c r="AF54" s="100"/>
      <c r="AX54" s="118"/>
      <c r="AY54" s="71"/>
      <c r="AZ54" s="71"/>
      <c r="BA54" s="71"/>
      <c r="BB54" s="71"/>
      <c r="BC54" s="71"/>
      <c r="BD54" s="71"/>
      <c r="BE54" s="71"/>
      <c r="BF54" s="61"/>
      <c r="BG54" s="71"/>
      <c r="BH54" s="71"/>
      <c r="BI54" s="71"/>
      <c r="BJ54" s="71"/>
      <c r="BK54" s="71"/>
      <c r="BL54" s="71"/>
      <c r="BM54" s="71"/>
      <c r="BN54" s="105"/>
      <c r="BO54" s="97"/>
      <c r="BP54" s="98"/>
      <c r="BQ54" s="99"/>
      <c r="CI54" s="100"/>
      <c r="DA54" s="101"/>
      <c r="DB54" s="71"/>
      <c r="DC54" s="71"/>
      <c r="DD54" s="71"/>
      <c r="DE54" s="71"/>
      <c r="DF54" s="71"/>
      <c r="DG54" s="71"/>
      <c r="DH54" s="71"/>
      <c r="DI54" s="71"/>
      <c r="DJ54" s="71"/>
      <c r="DK54" s="71"/>
      <c r="DL54" s="71"/>
      <c r="DM54" s="71"/>
      <c r="DN54" s="71"/>
      <c r="DO54" s="71"/>
      <c r="DP54" s="61"/>
      <c r="DQ54" s="105"/>
      <c r="DR54" s="97"/>
      <c r="DS54" s="98"/>
      <c r="DT54" s="99"/>
      <c r="EL54" s="100"/>
      <c r="FD54" s="101"/>
      <c r="FM54" s="71"/>
      <c r="FN54" s="71"/>
      <c r="FO54" s="71"/>
      <c r="FP54" s="71"/>
      <c r="FQ54" s="71"/>
      <c r="FR54" s="71"/>
      <c r="FS54" s="71"/>
      <c r="FT54" s="105"/>
      <c r="FU54" s="97"/>
      <c r="FV54" s="98"/>
      <c r="FW54" s="99"/>
      <c r="GO54" s="100"/>
      <c r="HG54" s="122"/>
      <c r="HW54" s="97"/>
      <c r="HX54" s="97"/>
      <c r="HY54" s="102"/>
    </row>
    <row r="55" spans="1:233" s="26" customFormat="1">
      <c r="B55" s="99"/>
      <c r="D55" s="106"/>
      <c r="L55" s="104"/>
      <c r="N55" s="99"/>
      <c r="AF55" s="100"/>
      <c r="AX55" s="118"/>
      <c r="AY55" s="71"/>
      <c r="AZ55" s="71"/>
      <c r="BA55" s="71"/>
      <c r="BB55" s="71"/>
      <c r="BC55" s="71"/>
      <c r="BD55" s="71"/>
      <c r="BE55" s="71"/>
      <c r="BF55" s="61"/>
      <c r="BG55" s="71"/>
      <c r="BH55" s="71"/>
      <c r="BI55" s="71"/>
      <c r="BJ55" s="71"/>
      <c r="BK55" s="71"/>
      <c r="BL55" s="71"/>
      <c r="BM55" s="71"/>
      <c r="BN55" s="105"/>
      <c r="BO55" s="97"/>
      <c r="BP55" s="98"/>
      <c r="BQ55" s="99"/>
      <c r="CI55" s="100"/>
      <c r="DA55" s="101"/>
      <c r="DB55" s="71"/>
      <c r="DC55" s="71"/>
      <c r="DD55" s="71"/>
      <c r="DE55" s="71"/>
      <c r="DF55" s="71"/>
      <c r="DG55" s="71"/>
      <c r="DH55" s="71"/>
      <c r="DI55" s="71"/>
      <c r="DJ55" s="71"/>
      <c r="DK55" s="71"/>
      <c r="DL55" s="71"/>
      <c r="DM55" s="71"/>
      <c r="DN55" s="71"/>
      <c r="DO55" s="71"/>
      <c r="DP55" s="61"/>
      <c r="DQ55" s="105"/>
      <c r="DR55" s="97"/>
      <c r="DS55" s="98"/>
      <c r="DT55" s="99"/>
      <c r="EL55" s="100"/>
      <c r="FD55" s="101"/>
      <c r="FM55" s="71"/>
      <c r="FN55" s="71"/>
      <c r="FO55" s="71"/>
      <c r="FP55" s="71"/>
      <c r="FQ55" s="71"/>
      <c r="FR55" s="71"/>
      <c r="FS55" s="71"/>
      <c r="FT55" s="105"/>
      <c r="FU55" s="97"/>
      <c r="FV55" s="98"/>
      <c r="FW55" s="99"/>
      <c r="GO55" s="100"/>
      <c r="HG55" s="122"/>
      <c r="HW55" s="97"/>
      <c r="HX55" s="97"/>
      <c r="HY55" s="102"/>
    </row>
    <row r="56" spans="1:233" s="26" customFormat="1">
      <c r="B56" s="99"/>
      <c r="D56" s="106"/>
      <c r="L56" s="104"/>
      <c r="N56" s="99"/>
      <c r="AF56" s="100"/>
      <c r="AX56" s="118"/>
      <c r="AY56" s="71"/>
      <c r="AZ56" s="71"/>
      <c r="BA56" s="71"/>
      <c r="BB56" s="71"/>
      <c r="BC56" s="71"/>
      <c r="BD56" s="71"/>
      <c r="BE56" s="71"/>
      <c r="BF56" s="71"/>
      <c r="BG56" s="71"/>
      <c r="BH56" s="71"/>
      <c r="BI56" s="71"/>
      <c r="BJ56" s="71"/>
      <c r="BK56" s="71"/>
      <c r="BL56" s="71"/>
      <c r="BM56" s="71"/>
      <c r="BN56" s="105"/>
      <c r="BO56" s="97"/>
      <c r="BP56" s="98"/>
      <c r="BQ56" s="99"/>
      <c r="CI56" s="100"/>
      <c r="DA56" s="101"/>
      <c r="DB56" s="71"/>
      <c r="DC56" s="71"/>
      <c r="DD56" s="71"/>
      <c r="DE56" s="71"/>
      <c r="DF56" s="71"/>
      <c r="DG56" s="71"/>
      <c r="DH56" s="71"/>
      <c r="DI56" s="71"/>
      <c r="DJ56" s="71"/>
      <c r="DK56" s="71"/>
      <c r="DL56" s="71"/>
      <c r="DM56" s="71"/>
      <c r="DN56" s="71"/>
      <c r="DO56" s="71"/>
      <c r="DP56" s="61"/>
      <c r="DQ56" s="105"/>
      <c r="DR56" s="97"/>
      <c r="DS56" s="98"/>
      <c r="DT56" s="99"/>
      <c r="EL56" s="100"/>
      <c r="FD56" s="101"/>
      <c r="FM56" s="71"/>
      <c r="FN56" s="71"/>
      <c r="FO56" s="71"/>
      <c r="FP56" s="71"/>
      <c r="FQ56" s="71"/>
      <c r="FR56" s="71"/>
      <c r="FS56" s="71"/>
      <c r="FT56" s="105"/>
      <c r="FU56" s="97"/>
      <c r="FV56" s="98"/>
      <c r="FW56" s="99"/>
      <c r="GO56" s="100"/>
      <c r="HG56" s="122"/>
      <c r="HW56" s="97"/>
      <c r="HX56" s="97"/>
      <c r="HY56" s="102"/>
    </row>
    <row r="57" spans="1:233" s="26" customFormat="1">
      <c r="B57" s="99"/>
      <c r="D57" s="106"/>
      <c r="L57" s="104"/>
      <c r="N57" s="99"/>
      <c r="AF57" s="100"/>
      <c r="AX57" s="118"/>
      <c r="AY57" s="71"/>
      <c r="AZ57" s="71"/>
      <c r="BA57" s="71"/>
      <c r="BB57" s="71"/>
      <c r="BC57" s="71"/>
      <c r="BD57" s="71"/>
      <c r="BE57" s="71"/>
      <c r="BF57" s="71"/>
      <c r="BG57" s="71"/>
      <c r="BH57" s="71"/>
      <c r="BI57" s="71"/>
      <c r="BJ57" s="71"/>
      <c r="BK57" s="71"/>
      <c r="BL57" s="71"/>
      <c r="BM57" s="71"/>
      <c r="BN57" s="105"/>
      <c r="BO57" s="97"/>
      <c r="BP57" s="98"/>
      <c r="BQ57" s="99"/>
      <c r="CI57" s="100"/>
      <c r="DA57" s="101"/>
      <c r="DB57" s="71"/>
      <c r="DC57" s="71"/>
      <c r="DD57" s="71"/>
      <c r="DE57" s="71"/>
      <c r="DF57" s="71"/>
      <c r="DG57" s="71"/>
      <c r="DH57" s="71"/>
      <c r="DI57" s="71"/>
      <c r="DJ57" s="71"/>
      <c r="DK57" s="71"/>
      <c r="DL57" s="71"/>
      <c r="DM57" s="71"/>
      <c r="DN57" s="71"/>
      <c r="DO57" s="71"/>
      <c r="DP57" s="71"/>
      <c r="DQ57" s="105"/>
      <c r="DR57" s="97"/>
      <c r="DS57" s="98"/>
      <c r="DT57" s="99"/>
      <c r="EL57" s="100"/>
      <c r="FD57" s="101"/>
      <c r="FM57" s="71"/>
      <c r="FN57" s="71"/>
      <c r="FO57" s="71"/>
      <c r="FP57" s="71"/>
      <c r="FQ57" s="71"/>
      <c r="FR57" s="71"/>
      <c r="FS57" s="71"/>
      <c r="FT57" s="105"/>
      <c r="FU57" s="97"/>
      <c r="FV57" s="98"/>
      <c r="FW57" s="99"/>
      <c r="GO57" s="100"/>
      <c r="HG57" s="122"/>
      <c r="HW57" s="97"/>
      <c r="HX57" s="97"/>
      <c r="HY57" s="102"/>
    </row>
    <row r="58" spans="1:233" s="26" customFormat="1">
      <c r="B58" s="99"/>
      <c r="D58" s="104"/>
      <c r="L58" s="104"/>
      <c r="N58" s="99"/>
      <c r="AF58" s="100"/>
      <c r="AX58" s="118"/>
      <c r="AY58" s="71"/>
      <c r="AZ58" s="71"/>
      <c r="BA58" s="71"/>
      <c r="BB58" s="71"/>
      <c r="BC58" s="71"/>
      <c r="BD58" s="71"/>
      <c r="BE58" s="71"/>
      <c r="BF58" s="71"/>
      <c r="BG58" s="71"/>
      <c r="BH58" s="71"/>
      <c r="BI58" s="71"/>
      <c r="BJ58" s="71"/>
      <c r="BK58" s="71"/>
      <c r="BL58" s="71"/>
      <c r="BM58" s="71"/>
      <c r="BN58" s="105"/>
      <c r="BO58" s="97"/>
      <c r="BP58" s="98"/>
      <c r="BQ58" s="99"/>
      <c r="CI58" s="100"/>
      <c r="DA58" s="101"/>
      <c r="DB58" s="71"/>
      <c r="DC58" s="71"/>
      <c r="DD58" s="71"/>
      <c r="DE58" s="71"/>
      <c r="DF58" s="71"/>
      <c r="DG58" s="71"/>
      <c r="DH58" s="71"/>
      <c r="DI58" s="71"/>
      <c r="DJ58" s="71"/>
      <c r="DK58" s="71"/>
      <c r="DL58" s="71"/>
      <c r="DM58" s="71"/>
      <c r="DN58" s="71"/>
      <c r="DO58" s="71"/>
      <c r="DP58" s="71"/>
      <c r="DQ58" s="105"/>
      <c r="DR58" s="97"/>
      <c r="DS58" s="98"/>
      <c r="DT58" s="99"/>
      <c r="EL58" s="100"/>
      <c r="FD58" s="101"/>
      <c r="FM58" s="71"/>
      <c r="FN58" s="71"/>
      <c r="FO58" s="71"/>
      <c r="FP58" s="71"/>
      <c r="FQ58" s="71"/>
      <c r="FR58" s="71"/>
      <c r="FS58" s="71"/>
      <c r="FT58" s="105"/>
      <c r="FU58" s="97"/>
      <c r="FV58" s="98"/>
      <c r="FW58" s="99"/>
      <c r="GO58" s="100"/>
      <c r="HG58" s="122"/>
      <c r="HW58" s="97"/>
      <c r="HX58" s="97"/>
      <c r="HY58" s="102"/>
    </row>
    <row r="59" spans="1:233" s="26" customFormat="1">
      <c r="B59" s="99"/>
      <c r="D59" s="104"/>
      <c r="L59" s="104"/>
      <c r="N59" s="99"/>
      <c r="AF59" s="100"/>
      <c r="AX59" s="118"/>
      <c r="AY59" s="71"/>
      <c r="AZ59" s="71"/>
      <c r="BA59" s="71"/>
      <c r="BB59" s="71"/>
      <c r="BC59" s="71"/>
      <c r="BD59" s="71"/>
      <c r="BE59" s="71"/>
      <c r="BF59" s="71"/>
      <c r="BG59" s="71"/>
      <c r="BH59" s="71"/>
      <c r="BI59" s="71"/>
      <c r="BJ59" s="71"/>
      <c r="BK59" s="71"/>
      <c r="BL59" s="71"/>
      <c r="BM59" s="71"/>
      <c r="BN59" s="105"/>
      <c r="BO59" s="97"/>
      <c r="BP59" s="98"/>
      <c r="BQ59" s="99"/>
      <c r="CI59" s="100"/>
      <c r="DA59" s="101"/>
      <c r="DB59" s="71"/>
      <c r="DC59" s="71"/>
      <c r="DD59" s="71"/>
      <c r="DE59" s="71"/>
      <c r="DF59" s="71"/>
      <c r="DG59" s="71"/>
      <c r="DH59" s="71"/>
      <c r="DI59" s="71"/>
      <c r="DJ59" s="71"/>
      <c r="DK59" s="71"/>
      <c r="DL59" s="71"/>
      <c r="DM59" s="71"/>
      <c r="DN59" s="71"/>
      <c r="DO59" s="71"/>
      <c r="DP59" s="71"/>
      <c r="DQ59" s="105"/>
      <c r="DR59" s="97"/>
      <c r="DS59" s="98"/>
      <c r="DT59" s="99"/>
      <c r="EL59" s="100"/>
      <c r="FD59" s="101"/>
      <c r="FM59" s="71"/>
      <c r="FN59" s="71"/>
      <c r="FO59" s="71"/>
      <c r="FP59" s="71"/>
      <c r="FQ59" s="71"/>
      <c r="FR59" s="71"/>
      <c r="FS59" s="71"/>
      <c r="FT59" s="105"/>
      <c r="FU59" s="97"/>
      <c r="FV59" s="98"/>
      <c r="FW59" s="99"/>
      <c r="GO59" s="100"/>
      <c r="HG59" s="122"/>
      <c r="HW59" s="97"/>
      <c r="HX59" s="97"/>
      <c r="HY59" s="102"/>
    </row>
    <row r="60" spans="1:233" s="26" customFormat="1">
      <c r="B60" s="99"/>
      <c r="D60" s="104"/>
      <c r="L60" s="104"/>
      <c r="N60" s="99"/>
      <c r="AF60" s="100"/>
      <c r="AX60" s="118"/>
      <c r="AY60" s="71"/>
      <c r="AZ60" s="71"/>
      <c r="BA60" s="71"/>
      <c r="BB60" s="71"/>
      <c r="BC60" s="71"/>
      <c r="BD60" s="71"/>
      <c r="BE60" s="71"/>
      <c r="BF60" s="71"/>
      <c r="BG60" s="71"/>
      <c r="BH60" s="71"/>
      <c r="BI60" s="71"/>
      <c r="BJ60" s="71"/>
      <c r="BK60" s="71"/>
      <c r="BL60" s="71"/>
      <c r="BM60" s="71"/>
      <c r="BN60" s="105"/>
      <c r="BO60" s="97"/>
      <c r="BP60" s="98"/>
      <c r="BQ60" s="99"/>
      <c r="CI60" s="100"/>
      <c r="DA60" s="101"/>
      <c r="DB60" s="71"/>
      <c r="DC60" s="71"/>
      <c r="DD60" s="71"/>
      <c r="DE60" s="71"/>
      <c r="DF60" s="71"/>
      <c r="DG60" s="71"/>
      <c r="DH60" s="71"/>
      <c r="DI60" s="71"/>
      <c r="DJ60" s="71"/>
      <c r="DK60" s="71"/>
      <c r="DL60" s="71"/>
      <c r="DM60" s="71"/>
      <c r="DN60" s="71"/>
      <c r="DO60" s="71"/>
      <c r="DP60" s="71"/>
      <c r="DQ60" s="105"/>
      <c r="DR60" s="97"/>
      <c r="DS60" s="98"/>
      <c r="DT60" s="99"/>
      <c r="EL60" s="100"/>
      <c r="FD60" s="101"/>
      <c r="FM60" s="71"/>
      <c r="FN60" s="71"/>
      <c r="FO60" s="71"/>
      <c r="FP60" s="71"/>
      <c r="FQ60" s="71"/>
      <c r="FR60" s="71"/>
      <c r="FS60" s="71"/>
      <c r="FT60" s="105"/>
      <c r="FU60" s="97"/>
      <c r="FV60" s="98"/>
      <c r="FW60" s="99"/>
      <c r="GO60" s="100"/>
      <c r="HG60" s="122"/>
      <c r="HW60" s="97"/>
      <c r="HX60" s="97"/>
      <c r="HY60" s="102"/>
    </row>
    <row r="61" spans="1:233" s="26" customFormat="1">
      <c r="B61" s="99"/>
      <c r="D61" s="104"/>
      <c r="L61" s="104"/>
      <c r="N61" s="99"/>
      <c r="AF61" s="100"/>
      <c r="AX61" s="118"/>
      <c r="AY61" s="71"/>
      <c r="AZ61" s="71"/>
      <c r="BA61" s="71"/>
      <c r="BB61" s="71"/>
      <c r="BC61" s="71"/>
      <c r="BD61" s="71"/>
      <c r="BE61" s="71"/>
      <c r="BF61" s="71"/>
      <c r="BG61" s="71"/>
      <c r="BH61" s="71"/>
      <c r="BI61" s="71"/>
      <c r="BJ61" s="71"/>
      <c r="BK61" s="71"/>
      <c r="BL61" s="71"/>
      <c r="BM61" s="71"/>
      <c r="BN61" s="105"/>
      <c r="BO61" s="97"/>
      <c r="BP61" s="98"/>
      <c r="BQ61" s="99"/>
      <c r="CI61" s="100"/>
      <c r="DA61" s="101"/>
      <c r="DB61" s="71"/>
      <c r="DC61" s="71"/>
      <c r="DD61" s="71"/>
      <c r="DE61" s="71"/>
      <c r="DF61" s="71"/>
      <c r="DG61" s="71"/>
      <c r="DH61" s="71"/>
      <c r="DI61" s="71"/>
      <c r="DJ61" s="71"/>
      <c r="DK61" s="71"/>
      <c r="DL61" s="71"/>
      <c r="DM61" s="71"/>
      <c r="DN61" s="71"/>
      <c r="DO61" s="71"/>
      <c r="DP61" s="71"/>
      <c r="DQ61" s="105"/>
      <c r="DR61" s="97"/>
      <c r="DS61" s="98"/>
      <c r="DT61" s="99"/>
      <c r="EL61" s="100"/>
      <c r="FD61" s="101"/>
      <c r="FM61" s="71"/>
      <c r="FN61" s="71"/>
      <c r="FO61" s="71"/>
      <c r="FP61" s="71"/>
      <c r="FQ61" s="71"/>
      <c r="FR61" s="71"/>
      <c r="FS61" s="71"/>
      <c r="FT61" s="105"/>
      <c r="FU61" s="97"/>
      <c r="FV61" s="98"/>
      <c r="FW61" s="99"/>
      <c r="GO61" s="100"/>
      <c r="HG61" s="122"/>
      <c r="HW61" s="97"/>
      <c r="HX61" s="97"/>
      <c r="HY61" s="102"/>
    </row>
    <row r="62" spans="1:233" s="26" customFormat="1">
      <c r="B62" s="99"/>
      <c r="D62" s="104"/>
      <c r="L62" s="104"/>
      <c r="N62" s="99"/>
      <c r="AF62" s="100"/>
      <c r="AX62" s="118"/>
      <c r="AY62" s="71"/>
      <c r="AZ62" s="71"/>
      <c r="BA62" s="71"/>
      <c r="BB62" s="71"/>
      <c r="BC62" s="71"/>
      <c r="BD62" s="71"/>
      <c r="BE62" s="71"/>
      <c r="BF62" s="71"/>
      <c r="BG62" s="71"/>
      <c r="BH62" s="71"/>
      <c r="BI62" s="71"/>
      <c r="BJ62" s="71"/>
      <c r="BK62" s="71"/>
      <c r="BL62" s="71"/>
      <c r="BM62" s="71"/>
      <c r="BN62" s="105"/>
      <c r="BO62" s="97"/>
      <c r="BP62" s="98"/>
      <c r="BQ62" s="99"/>
      <c r="CI62" s="100"/>
      <c r="DA62" s="101"/>
      <c r="DB62" s="71"/>
      <c r="DC62" s="71"/>
      <c r="DD62" s="71"/>
      <c r="DE62" s="71"/>
      <c r="DF62" s="71"/>
      <c r="DG62" s="71"/>
      <c r="DH62" s="71"/>
      <c r="DI62" s="71"/>
      <c r="DJ62" s="71"/>
      <c r="DK62" s="71"/>
      <c r="DL62" s="71"/>
      <c r="DM62" s="71"/>
      <c r="DN62" s="71"/>
      <c r="DO62" s="71"/>
      <c r="DP62" s="71"/>
      <c r="DQ62" s="105"/>
      <c r="DR62" s="97"/>
      <c r="DS62" s="98"/>
      <c r="DT62" s="99"/>
      <c r="EL62" s="100"/>
      <c r="FD62" s="101"/>
      <c r="FM62" s="71"/>
      <c r="FN62" s="71"/>
      <c r="FO62" s="71"/>
      <c r="FP62" s="71"/>
      <c r="FQ62" s="71"/>
      <c r="FR62" s="71"/>
      <c r="FS62" s="71"/>
      <c r="FT62" s="105"/>
      <c r="FU62" s="97"/>
      <c r="FV62" s="98"/>
      <c r="FW62" s="99"/>
      <c r="GO62" s="100"/>
      <c r="HG62" s="122"/>
      <c r="HW62" s="97"/>
      <c r="HX62" s="97"/>
      <c r="HY62" s="102"/>
    </row>
    <row r="63" spans="1:233" s="26" customFormat="1">
      <c r="B63" s="99"/>
      <c r="D63" s="104"/>
      <c r="L63" s="104"/>
      <c r="N63" s="99"/>
      <c r="AF63" s="100"/>
      <c r="AX63" s="118"/>
      <c r="AY63" s="71"/>
      <c r="AZ63" s="71"/>
      <c r="BA63" s="71"/>
      <c r="BB63" s="71"/>
      <c r="BC63" s="71"/>
      <c r="BD63" s="71"/>
      <c r="BE63" s="71"/>
      <c r="BF63" s="71"/>
      <c r="BG63" s="71"/>
      <c r="BH63" s="71"/>
      <c r="BI63" s="71"/>
      <c r="BJ63" s="71"/>
      <c r="BK63" s="71"/>
      <c r="BL63" s="71"/>
      <c r="BM63" s="71"/>
      <c r="BN63" s="105"/>
      <c r="BO63" s="97"/>
      <c r="BP63" s="98"/>
      <c r="BQ63" s="99"/>
      <c r="CI63" s="100"/>
      <c r="DA63" s="101"/>
      <c r="DB63" s="71"/>
      <c r="DC63" s="71"/>
      <c r="DD63" s="71"/>
      <c r="DE63" s="71"/>
      <c r="DF63" s="71"/>
      <c r="DG63" s="71"/>
      <c r="DH63" s="71"/>
      <c r="DI63" s="71"/>
      <c r="DJ63" s="71"/>
      <c r="DK63" s="71"/>
      <c r="DL63" s="71"/>
      <c r="DM63" s="71"/>
      <c r="DN63" s="71"/>
      <c r="DO63" s="71"/>
      <c r="DP63" s="71"/>
      <c r="DQ63" s="105"/>
      <c r="DR63" s="97"/>
      <c r="DS63" s="98"/>
      <c r="DT63" s="99"/>
      <c r="EL63" s="100"/>
      <c r="FD63" s="101"/>
      <c r="FM63" s="71"/>
      <c r="FN63" s="71"/>
      <c r="FO63" s="71"/>
      <c r="FP63" s="71"/>
      <c r="FQ63" s="71"/>
      <c r="FR63" s="71"/>
      <c r="FS63" s="71"/>
      <c r="FT63" s="105"/>
      <c r="FU63" s="97"/>
      <c r="FV63" s="98"/>
      <c r="FW63" s="99"/>
      <c r="GO63" s="100"/>
      <c r="HG63" s="122"/>
      <c r="HW63" s="97"/>
      <c r="HX63" s="97"/>
      <c r="HY63" s="102"/>
    </row>
    <row r="64" spans="1:233" s="26" customFormat="1">
      <c r="A64" s="71"/>
      <c r="B64" s="70"/>
      <c r="C64" s="25"/>
      <c r="D64" s="106"/>
      <c r="E64" s="25"/>
      <c r="F64" s="25"/>
      <c r="G64" s="25"/>
      <c r="H64" s="25"/>
      <c r="I64" s="25"/>
      <c r="J64" s="25"/>
      <c r="K64" s="25"/>
      <c r="L64" s="106"/>
      <c r="M64" s="25"/>
      <c r="N64" s="70"/>
      <c r="O64" s="25"/>
      <c r="P64" s="25"/>
      <c r="Q64" s="25"/>
      <c r="R64" s="25"/>
      <c r="S64" s="25"/>
      <c r="T64" s="25"/>
      <c r="U64" s="25"/>
      <c r="V64" s="25"/>
      <c r="W64" s="25"/>
      <c r="X64" s="25"/>
      <c r="Y64" s="25"/>
      <c r="Z64" s="25"/>
      <c r="AA64" s="25"/>
      <c r="AB64" s="25"/>
      <c r="AC64" s="25"/>
      <c r="AD64" s="25"/>
      <c r="AE64" s="25"/>
      <c r="AF64" s="79"/>
      <c r="AG64" s="25"/>
      <c r="AH64" s="25"/>
      <c r="AI64" s="25"/>
      <c r="AJ64" s="25"/>
      <c r="AK64" s="25"/>
      <c r="AL64" s="25"/>
      <c r="AM64" s="25"/>
      <c r="AN64" s="25"/>
      <c r="AO64" s="25"/>
      <c r="AP64" s="25"/>
      <c r="AQ64" s="25"/>
      <c r="AR64" s="25"/>
      <c r="AS64" s="25"/>
      <c r="AT64" s="25"/>
      <c r="AU64" s="25"/>
      <c r="AV64" s="25"/>
      <c r="AW64" s="25"/>
      <c r="AX64" s="118"/>
      <c r="AY64" s="71"/>
      <c r="AZ64" s="71"/>
      <c r="BA64" s="71"/>
      <c r="BB64" s="71"/>
      <c r="BC64" s="71"/>
      <c r="BD64" s="71"/>
      <c r="BE64" s="71"/>
      <c r="BF64" s="61"/>
      <c r="BG64" s="71"/>
      <c r="BH64" s="71"/>
      <c r="BI64" s="71"/>
      <c r="BJ64" s="71"/>
      <c r="BK64" s="71"/>
      <c r="BL64" s="71"/>
      <c r="BM64" s="61"/>
      <c r="BN64" s="105"/>
      <c r="BO64" s="124"/>
      <c r="BP64" s="102"/>
      <c r="BQ64" s="70"/>
      <c r="BR64" s="25"/>
      <c r="BS64" s="25"/>
      <c r="BT64" s="25"/>
      <c r="BU64" s="25"/>
      <c r="BV64" s="25"/>
      <c r="BW64" s="25"/>
      <c r="BX64" s="71"/>
      <c r="BY64" s="71"/>
      <c r="BZ64" s="71"/>
      <c r="CA64" s="71"/>
      <c r="CB64" s="71"/>
      <c r="CC64" s="71"/>
      <c r="CD64" s="71"/>
      <c r="CE64" s="71"/>
      <c r="CF64" s="71"/>
      <c r="CG64" s="71"/>
      <c r="CH64" s="71"/>
      <c r="CI64" s="115"/>
      <c r="CJ64" s="71"/>
      <c r="CK64" s="71"/>
      <c r="CL64" s="71"/>
      <c r="CM64" s="71"/>
      <c r="CN64" s="71"/>
      <c r="CO64" s="71"/>
      <c r="CP64" s="71"/>
      <c r="CQ64" s="71"/>
      <c r="CR64" s="71"/>
      <c r="CS64" s="71"/>
      <c r="CT64" s="71"/>
      <c r="CU64" s="71"/>
      <c r="CV64" s="71"/>
      <c r="CW64" s="71"/>
      <c r="CX64" s="71"/>
      <c r="CY64" s="71"/>
      <c r="CZ64" s="71"/>
      <c r="DA64" s="125"/>
      <c r="DB64" s="71"/>
      <c r="DC64" s="71"/>
      <c r="DD64" s="71"/>
      <c r="DE64" s="71"/>
      <c r="DF64" s="71"/>
      <c r="DG64" s="71"/>
      <c r="DH64" s="71"/>
      <c r="DI64" s="71"/>
      <c r="DJ64" s="71"/>
      <c r="DK64" s="71"/>
      <c r="DL64" s="71"/>
      <c r="DM64" s="71"/>
      <c r="DN64" s="71"/>
      <c r="DO64" s="71"/>
      <c r="DP64" s="71"/>
      <c r="DQ64" s="105"/>
      <c r="DR64" s="124"/>
      <c r="DS64" s="102"/>
      <c r="DT64" s="99"/>
      <c r="EL64" s="83"/>
      <c r="FD64" s="84"/>
      <c r="FE64" s="71"/>
      <c r="FF64" s="71"/>
      <c r="FG64" s="71"/>
      <c r="FH64" s="71"/>
      <c r="FI64" s="71"/>
      <c r="FJ64" s="71"/>
      <c r="FK64" s="71"/>
      <c r="FL64" s="61"/>
      <c r="FM64" s="71"/>
      <c r="FN64" s="71"/>
      <c r="FO64" s="71"/>
      <c r="FP64" s="61"/>
      <c r="FQ64" s="71"/>
      <c r="FR64" s="71"/>
      <c r="FS64" s="71"/>
      <c r="FT64" s="80"/>
      <c r="FU64" s="97"/>
      <c r="FV64" s="98"/>
      <c r="FW64" s="99"/>
      <c r="GO64" s="115"/>
      <c r="HG64" s="128"/>
      <c r="HO64" s="61"/>
      <c r="HS64" s="61"/>
      <c r="HW64" s="80"/>
      <c r="HX64" s="97"/>
      <c r="HY64" s="102"/>
    </row>
    <row r="65" spans="1:235" s="26" customFormat="1">
      <c r="A65" s="71"/>
      <c r="B65" s="70"/>
      <c r="C65" s="25"/>
      <c r="D65" s="106"/>
      <c r="E65" s="25"/>
      <c r="F65" s="25"/>
      <c r="G65" s="25"/>
      <c r="H65" s="25"/>
      <c r="I65" s="25"/>
      <c r="J65" s="25"/>
      <c r="K65" s="25"/>
      <c r="L65" s="106"/>
      <c r="M65" s="25"/>
      <c r="N65" s="70"/>
      <c r="O65" s="25"/>
      <c r="P65" s="25"/>
      <c r="Q65" s="25"/>
      <c r="R65" s="25"/>
      <c r="S65" s="25"/>
      <c r="T65" s="25"/>
      <c r="U65" s="25"/>
      <c r="V65" s="25"/>
      <c r="W65" s="25"/>
      <c r="X65" s="25"/>
      <c r="Y65" s="25"/>
      <c r="Z65" s="25"/>
      <c r="AA65" s="25"/>
      <c r="AB65" s="25"/>
      <c r="AC65" s="25"/>
      <c r="AD65" s="25"/>
      <c r="AE65" s="25"/>
      <c r="AF65" s="116"/>
      <c r="AG65" s="25"/>
      <c r="AH65" s="25"/>
      <c r="AI65" s="25"/>
      <c r="AJ65" s="25"/>
      <c r="AK65" s="25"/>
      <c r="AL65" s="25"/>
      <c r="AM65" s="25"/>
      <c r="AN65" s="25"/>
      <c r="AO65" s="25"/>
      <c r="AP65" s="25"/>
      <c r="AQ65" s="25"/>
      <c r="AR65" s="25"/>
      <c r="AS65" s="25"/>
      <c r="AT65" s="25"/>
      <c r="AU65" s="25"/>
      <c r="AV65" s="25"/>
      <c r="AW65" s="25"/>
      <c r="AX65" s="118"/>
      <c r="AY65" s="71"/>
      <c r="AZ65" s="71"/>
      <c r="BA65" s="71"/>
      <c r="BB65" s="71"/>
      <c r="BC65" s="71"/>
      <c r="BD65" s="71"/>
      <c r="BE65" s="71"/>
      <c r="BF65" s="71"/>
      <c r="BG65" s="71"/>
      <c r="BH65" s="71"/>
      <c r="BI65" s="71"/>
      <c r="BJ65" s="71"/>
      <c r="BK65" s="71"/>
      <c r="BL65" s="71"/>
      <c r="BM65" s="61"/>
      <c r="BN65" s="105"/>
      <c r="BO65" s="124"/>
      <c r="BP65" s="102"/>
      <c r="BQ65" s="70"/>
      <c r="BR65" s="25"/>
      <c r="BS65" s="25"/>
      <c r="BT65" s="25"/>
      <c r="BU65" s="25"/>
      <c r="BV65" s="25"/>
      <c r="BW65" s="25"/>
      <c r="BX65" s="71"/>
      <c r="BY65" s="71"/>
      <c r="BZ65" s="71"/>
      <c r="CA65" s="71"/>
      <c r="CB65" s="71"/>
      <c r="CC65" s="71"/>
      <c r="CD65" s="71"/>
      <c r="CE65" s="71"/>
      <c r="CF65" s="71"/>
      <c r="CG65" s="71"/>
      <c r="CH65" s="71"/>
      <c r="CI65" s="115"/>
      <c r="CJ65" s="71"/>
      <c r="CK65" s="71"/>
      <c r="CL65" s="71"/>
      <c r="CM65" s="71"/>
      <c r="CN65" s="71"/>
      <c r="CO65" s="71"/>
      <c r="CP65" s="71"/>
      <c r="CQ65" s="71"/>
      <c r="CR65" s="71"/>
      <c r="CS65" s="71"/>
      <c r="CT65" s="71"/>
      <c r="CU65" s="71"/>
      <c r="CV65" s="71"/>
      <c r="CW65" s="71"/>
      <c r="CX65" s="71"/>
      <c r="CY65" s="71"/>
      <c r="CZ65" s="71"/>
      <c r="DA65" s="125"/>
      <c r="DB65" s="71"/>
      <c r="DC65" s="71"/>
      <c r="DD65" s="71"/>
      <c r="DE65" s="71"/>
      <c r="DF65" s="71"/>
      <c r="DG65" s="71"/>
      <c r="DH65" s="71"/>
      <c r="DI65" s="71"/>
      <c r="DJ65" s="71"/>
      <c r="DK65" s="71"/>
      <c r="DL65" s="71"/>
      <c r="DM65" s="71"/>
      <c r="DN65" s="71"/>
      <c r="DO65" s="71"/>
      <c r="DP65" s="71"/>
      <c r="DQ65" s="105"/>
      <c r="DR65" s="124"/>
      <c r="DS65" s="102"/>
      <c r="DT65" s="99"/>
      <c r="EL65" s="83"/>
      <c r="FD65" s="84"/>
      <c r="FE65" s="71"/>
      <c r="FF65" s="71"/>
      <c r="FG65" s="71"/>
      <c r="FH65" s="71"/>
      <c r="FI65" s="71"/>
      <c r="FJ65" s="71"/>
      <c r="FK65" s="71"/>
      <c r="FL65" s="61"/>
      <c r="FM65" s="71"/>
      <c r="FN65" s="71"/>
      <c r="FO65" s="71"/>
      <c r="FP65" s="61"/>
      <c r="FQ65" s="71"/>
      <c r="FR65" s="71"/>
      <c r="FS65" s="71"/>
      <c r="FT65" s="105"/>
      <c r="FU65" s="97"/>
      <c r="FV65" s="98"/>
      <c r="FW65" s="99"/>
      <c r="GO65" s="115"/>
      <c r="HG65" s="128"/>
      <c r="HO65" s="61"/>
      <c r="HS65" s="61"/>
      <c r="HW65" s="97"/>
      <c r="HX65" s="97"/>
      <c r="HY65" s="102"/>
    </row>
    <row r="66" spans="1:235" s="26" customFormat="1">
      <c r="B66" s="99"/>
      <c r="D66" s="106"/>
      <c r="L66" s="104"/>
      <c r="N66" s="99"/>
      <c r="S66" s="25"/>
      <c r="T66" s="25"/>
      <c r="AF66" s="116"/>
      <c r="AX66" s="121"/>
      <c r="AY66" s="71"/>
      <c r="AZ66" s="71"/>
      <c r="BA66" s="71"/>
      <c r="BB66" s="71"/>
      <c r="BC66" s="71"/>
      <c r="BD66" s="71"/>
      <c r="BE66" s="71"/>
      <c r="BF66" s="71"/>
      <c r="BG66" s="71"/>
      <c r="BH66" s="71"/>
      <c r="BI66" s="71"/>
      <c r="BJ66" s="71"/>
      <c r="BK66" s="71"/>
      <c r="BL66" s="71"/>
      <c r="BM66" s="61"/>
      <c r="BN66" s="105"/>
      <c r="BO66" s="97"/>
      <c r="BP66" s="98"/>
      <c r="BQ66" s="99"/>
      <c r="CI66" s="100"/>
      <c r="DA66" s="125"/>
      <c r="DB66" s="71"/>
      <c r="DC66" s="71"/>
      <c r="DD66" s="71"/>
      <c r="DE66" s="71"/>
      <c r="DF66" s="71"/>
      <c r="DG66" s="71"/>
      <c r="DH66" s="71"/>
      <c r="DI66" s="71"/>
      <c r="DJ66" s="71"/>
      <c r="DK66" s="71"/>
      <c r="DL66" s="71"/>
      <c r="DM66" s="71"/>
      <c r="DN66" s="71"/>
      <c r="DO66" s="71"/>
      <c r="DP66" s="71"/>
      <c r="DQ66" s="105"/>
      <c r="DR66" s="97"/>
      <c r="DS66" s="98"/>
      <c r="DT66" s="99"/>
      <c r="EL66" s="83"/>
      <c r="FD66" s="84"/>
      <c r="FL66" s="61"/>
      <c r="FM66" s="71"/>
      <c r="FN66" s="71"/>
      <c r="FO66" s="71"/>
      <c r="FP66" s="61"/>
      <c r="FQ66" s="71"/>
      <c r="FR66" s="71"/>
      <c r="FS66" s="71"/>
      <c r="FT66" s="105"/>
      <c r="FU66" s="97"/>
      <c r="FV66" s="98"/>
      <c r="FW66" s="99"/>
      <c r="GO66" s="100"/>
      <c r="HG66" s="122"/>
      <c r="HS66" s="61"/>
      <c r="HW66" s="97"/>
      <c r="HX66" s="97"/>
      <c r="HY66" s="102"/>
    </row>
    <row r="67" spans="1:235" s="26" customFormat="1">
      <c r="B67" s="99"/>
      <c r="D67" s="106"/>
      <c r="L67" s="104"/>
      <c r="N67" s="99"/>
      <c r="S67" s="25"/>
      <c r="T67" s="25"/>
      <c r="AF67" s="116"/>
      <c r="AX67" s="121"/>
      <c r="AY67" s="71"/>
      <c r="AZ67" s="71"/>
      <c r="BA67" s="71"/>
      <c r="BB67" s="71"/>
      <c r="BC67" s="71"/>
      <c r="BD67" s="71"/>
      <c r="BE67" s="71"/>
      <c r="BF67" s="71"/>
      <c r="BG67" s="71"/>
      <c r="BH67" s="71"/>
      <c r="BI67" s="71"/>
      <c r="BJ67" s="71"/>
      <c r="BK67" s="71"/>
      <c r="BL67" s="71"/>
      <c r="BM67" s="61"/>
      <c r="BN67" s="105"/>
      <c r="BO67" s="97"/>
      <c r="BP67" s="98"/>
      <c r="BQ67" s="99"/>
      <c r="CI67" s="100"/>
      <c r="DA67" s="125"/>
      <c r="DB67" s="71"/>
      <c r="DC67" s="71"/>
      <c r="DD67" s="71"/>
      <c r="DE67" s="71"/>
      <c r="DF67" s="71"/>
      <c r="DG67" s="71"/>
      <c r="DH67" s="71"/>
      <c r="DI67" s="71"/>
      <c r="DJ67" s="71"/>
      <c r="DK67" s="71"/>
      <c r="DL67" s="71"/>
      <c r="DM67" s="71"/>
      <c r="DN67" s="71"/>
      <c r="DO67" s="71"/>
      <c r="DP67" s="71"/>
      <c r="DQ67" s="105"/>
      <c r="DR67" s="97"/>
      <c r="DS67" s="98"/>
      <c r="DT67" s="99"/>
      <c r="EL67" s="83"/>
      <c r="FD67" s="101"/>
      <c r="FL67" s="61"/>
      <c r="FM67" s="71"/>
      <c r="FN67" s="71"/>
      <c r="FO67" s="71"/>
      <c r="FP67" s="61"/>
      <c r="FQ67" s="71"/>
      <c r="FR67" s="71"/>
      <c r="FS67" s="71"/>
      <c r="FT67" s="105"/>
      <c r="FU67" s="97"/>
      <c r="FV67" s="98"/>
      <c r="FW67" s="99"/>
      <c r="GO67" s="100"/>
      <c r="HG67" s="122"/>
      <c r="HS67" s="61"/>
      <c r="HW67" s="97"/>
      <c r="HX67" s="97"/>
      <c r="HY67" s="102"/>
    </row>
    <row r="68" spans="1:235" s="26" customFormat="1">
      <c r="B68" s="99"/>
      <c r="D68" s="106"/>
      <c r="L68" s="104"/>
      <c r="N68" s="99"/>
      <c r="AF68" s="116"/>
      <c r="AX68" s="121"/>
      <c r="AY68" s="71"/>
      <c r="AZ68" s="71"/>
      <c r="BA68" s="71"/>
      <c r="BB68" s="71"/>
      <c r="BC68" s="71"/>
      <c r="BD68" s="71"/>
      <c r="BE68" s="71"/>
      <c r="BF68" s="71"/>
      <c r="BG68" s="71"/>
      <c r="BH68" s="71"/>
      <c r="BI68" s="71"/>
      <c r="BJ68" s="71"/>
      <c r="BK68" s="71"/>
      <c r="BL68" s="71"/>
      <c r="BM68" s="61"/>
      <c r="BN68" s="105"/>
      <c r="BO68" s="97"/>
      <c r="BP68" s="98"/>
      <c r="BQ68" s="99"/>
      <c r="CI68" s="100"/>
      <c r="DA68" s="125"/>
      <c r="DB68" s="71"/>
      <c r="DC68" s="71"/>
      <c r="DD68" s="71"/>
      <c r="DE68" s="71"/>
      <c r="DF68" s="71"/>
      <c r="DG68" s="71"/>
      <c r="DH68" s="71"/>
      <c r="DI68" s="71"/>
      <c r="DJ68" s="71"/>
      <c r="DK68" s="71"/>
      <c r="DL68" s="71"/>
      <c r="DM68" s="71"/>
      <c r="DN68" s="71"/>
      <c r="DO68" s="71"/>
      <c r="DP68" s="71"/>
      <c r="DQ68" s="105"/>
      <c r="DR68" s="97"/>
      <c r="DS68" s="98"/>
      <c r="DT68" s="99"/>
      <c r="EL68" s="83"/>
      <c r="FD68" s="101"/>
      <c r="FM68" s="71"/>
      <c r="FN68" s="71"/>
      <c r="FO68" s="71"/>
      <c r="FP68" s="61"/>
      <c r="FQ68" s="71"/>
      <c r="FR68" s="71"/>
      <c r="FS68" s="71"/>
      <c r="FT68" s="105"/>
      <c r="FU68" s="97"/>
      <c r="FV68" s="98"/>
      <c r="FW68" s="99"/>
      <c r="GO68" s="100"/>
      <c r="HG68" s="122"/>
      <c r="HS68" s="61"/>
      <c r="HW68" s="97"/>
      <c r="HX68" s="97"/>
      <c r="HY68" s="102"/>
    </row>
    <row r="69" spans="1:235" s="26" customFormat="1">
      <c r="A69" s="71"/>
      <c r="B69" s="70"/>
      <c r="C69" s="25"/>
      <c r="D69" s="106"/>
      <c r="E69" s="25"/>
      <c r="F69" s="71"/>
      <c r="G69" s="25"/>
      <c r="H69" s="25"/>
      <c r="I69" s="25"/>
      <c r="J69" s="25"/>
      <c r="K69" s="25"/>
      <c r="L69" s="106"/>
      <c r="M69" s="25"/>
      <c r="N69" s="70"/>
      <c r="O69" s="25"/>
      <c r="P69" s="25"/>
      <c r="Q69" s="25"/>
      <c r="R69" s="25"/>
      <c r="S69" s="25"/>
      <c r="T69" s="25"/>
      <c r="U69" s="71"/>
      <c r="V69" s="71"/>
      <c r="W69" s="71"/>
      <c r="X69" s="71"/>
      <c r="Y69" s="71"/>
      <c r="Z69" s="71"/>
      <c r="AA69" s="71"/>
      <c r="AB69" s="71"/>
      <c r="AC69" s="71"/>
      <c r="AD69" s="71"/>
      <c r="AE69" s="71"/>
      <c r="AF69" s="116"/>
      <c r="AG69" s="71"/>
      <c r="AH69" s="71"/>
      <c r="AI69" s="71"/>
      <c r="AJ69" s="71"/>
      <c r="AK69" s="71"/>
      <c r="AL69" s="71"/>
      <c r="AM69" s="71"/>
      <c r="AN69" s="71"/>
      <c r="AO69" s="71"/>
      <c r="AP69" s="71"/>
      <c r="AQ69" s="71"/>
      <c r="AR69" s="71"/>
      <c r="AS69" s="71"/>
      <c r="AT69" s="71"/>
      <c r="AU69" s="71"/>
      <c r="AV69" s="71"/>
      <c r="AW69" s="71"/>
      <c r="AX69" s="121"/>
      <c r="AY69" s="71"/>
      <c r="AZ69" s="71"/>
      <c r="BA69" s="71"/>
      <c r="BB69" s="71"/>
      <c r="BC69" s="71"/>
      <c r="BD69" s="71"/>
      <c r="BE69" s="71"/>
      <c r="BF69" s="71"/>
      <c r="BG69" s="71"/>
      <c r="BH69" s="71"/>
      <c r="BI69" s="71"/>
      <c r="BJ69" s="71"/>
      <c r="BK69" s="71"/>
      <c r="BL69" s="71"/>
      <c r="BM69" s="61"/>
      <c r="BN69" s="105"/>
      <c r="BO69" s="124"/>
      <c r="BP69" s="102"/>
      <c r="BQ69" s="70"/>
      <c r="CI69" s="115"/>
      <c r="CJ69" s="71"/>
      <c r="CK69" s="71"/>
      <c r="CL69" s="71"/>
      <c r="CM69" s="71"/>
      <c r="CN69" s="71"/>
      <c r="CO69" s="71"/>
      <c r="CP69" s="71"/>
      <c r="CQ69" s="71"/>
      <c r="CR69" s="71"/>
      <c r="CS69" s="71"/>
      <c r="CT69" s="71"/>
      <c r="CU69" s="71"/>
      <c r="CV69" s="71"/>
      <c r="CW69" s="71"/>
      <c r="CX69" s="71"/>
      <c r="CY69" s="71"/>
      <c r="CZ69" s="71"/>
      <c r="DA69" s="125"/>
      <c r="DB69" s="71"/>
      <c r="DC69" s="71"/>
      <c r="DD69" s="71"/>
      <c r="DE69" s="71"/>
      <c r="DF69" s="71"/>
      <c r="DG69" s="71"/>
      <c r="DH69" s="71"/>
      <c r="DI69" s="71"/>
      <c r="DJ69" s="71"/>
      <c r="DK69" s="71"/>
      <c r="DL69" s="71"/>
      <c r="DM69" s="71"/>
      <c r="DN69" s="71"/>
      <c r="DO69" s="71"/>
      <c r="DP69" s="71"/>
      <c r="DQ69" s="105"/>
      <c r="DR69" s="97"/>
      <c r="DS69" s="98"/>
      <c r="DT69" s="99"/>
      <c r="EL69" s="83"/>
      <c r="FD69" s="125"/>
      <c r="FE69" s="71"/>
      <c r="FF69" s="71"/>
      <c r="FG69" s="71"/>
      <c r="FH69" s="71"/>
      <c r="FI69" s="71"/>
      <c r="FJ69" s="71"/>
      <c r="FK69" s="71"/>
      <c r="FL69" s="71"/>
      <c r="FM69" s="71"/>
      <c r="FN69" s="71"/>
      <c r="FO69" s="71"/>
      <c r="FP69" s="61"/>
      <c r="FQ69" s="71"/>
      <c r="FR69" s="71"/>
      <c r="FS69" s="71"/>
      <c r="FT69" s="105"/>
      <c r="FU69" s="97"/>
      <c r="FV69" s="98"/>
      <c r="FW69" s="99"/>
      <c r="GO69" s="115"/>
      <c r="HG69" s="128"/>
      <c r="HS69" s="61"/>
      <c r="HW69" s="97"/>
      <c r="HX69" s="97"/>
      <c r="HY69" s="102"/>
    </row>
    <row r="70" spans="1:235" s="26" customFormat="1">
      <c r="A70" s="71"/>
      <c r="B70" s="70"/>
      <c r="C70" s="25"/>
      <c r="D70" s="106"/>
      <c r="E70" s="71"/>
      <c r="F70" s="71"/>
      <c r="G70" s="25"/>
      <c r="H70" s="71"/>
      <c r="I70" s="25"/>
      <c r="J70" s="71"/>
      <c r="K70" s="25"/>
      <c r="L70" s="106"/>
      <c r="M70" s="25"/>
      <c r="N70" s="96"/>
      <c r="O70" s="71"/>
      <c r="P70" s="71"/>
      <c r="Q70" s="71"/>
      <c r="R70" s="25"/>
      <c r="S70" s="25"/>
      <c r="T70" s="25"/>
      <c r="U70" s="71"/>
      <c r="V70" s="71"/>
      <c r="W70" s="71"/>
      <c r="X70" s="71"/>
      <c r="Y70" s="71"/>
      <c r="Z70" s="71"/>
      <c r="AA70" s="71"/>
      <c r="AB70" s="71"/>
      <c r="AC70" s="71"/>
      <c r="AD70" s="71"/>
      <c r="AE70" s="71"/>
      <c r="AF70" s="116"/>
      <c r="AG70" s="71"/>
      <c r="AH70" s="71"/>
      <c r="AI70" s="71"/>
      <c r="AJ70" s="71"/>
      <c r="AK70" s="71"/>
      <c r="AL70" s="71"/>
      <c r="AM70" s="71"/>
      <c r="AN70" s="71"/>
      <c r="AO70" s="71"/>
      <c r="AP70" s="71"/>
      <c r="AQ70" s="71"/>
      <c r="AR70" s="71"/>
      <c r="AS70" s="71"/>
      <c r="AT70" s="71"/>
      <c r="AU70" s="71"/>
      <c r="AV70" s="71"/>
      <c r="AW70" s="71"/>
      <c r="AX70" s="121"/>
      <c r="AY70" s="71"/>
      <c r="AZ70" s="71"/>
      <c r="BA70" s="71"/>
      <c r="BB70" s="71"/>
      <c r="BC70" s="71"/>
      <c r="BD70" s="71"/>
      <c r="BE70" s="71"/>
      <c r="BF70" s="71"/>
      <c r="BG70" s="71"/>
      <c r="BH70" s="71"/>
      <c r="BI70" s="71"/>
      <c r="BJ70" s="71"/>
      <c r="BK70" s="71"/>
      <c r="BL70" s="71"/>
      <c r="BM70" s="61"/>
      <c r="BN70" s="105"/>
      <c r="BO70" s="105"/>
      <c r="BP70" s="102"/>
      <c r="BQ70" s="96"/>
      <c r="BR70" s="114"/>
      <c r="BS70" s="28"/>
      <c r="BT70" s="28"/>
      <c r="BU70" s="71"/>
      <c r="BV70" s="25"/>
      <c r="BW70" s="25"/>
      <c r="BX70" s="71"/>
      <c r="BY70" s="71"/>
      <c r="BZ70" s="71"/>
      <c r="CA70" s="71"/>
      <c r="CB70" s="71"/>
      <c r="CC70" s="71"/>
      <c r="CD70" s="71"/>
      <c r="CE70" s="71"/>
      <c r="CF70" s="71"/>
      <c r="CG70" s="71"/>
      <c r="CH70" s="71"/>
      <c r="CI70" s="115"/>
      <c r="CJ70" s="71"/>
      <c r="CK70" s="71"/>
      <c r="CL70" s="71"/>
      <c r="CM70" s="71"/>
      <c r="CN70" s="71"/>
      <c r="CO70" s="71"/>
      <c r="CP70" s="71"/>
      <c r="CQ70" s="71"/>
      <c r="CR70" s="71"/>
      <c r="CS70" s="71"/>
      <c r="CT70" s="71"/>
      <c r="CU70" s="71"/>
      <c r="CV70" s="71"/>
      <c r="CW70" s="71"/>
      <c r="CX70" s="71"/>
      <c r="CY70" s="71"/>
      <c r="CZ70" s="71"/>
      <c r="DA70" s="125"/>
      <c r="DB70" s="71"/>
      <c r="DC70" s="71"/>
      <c r="DD70" s="71"/>
      <c r="DE70" s="71"/>
      <c r="DF70" s="71"/>
      <c r="DG70" s="71"/>
      <c r="DH70" s="71"/>
      <c r="DI70" s="71"/>
      <c r="DJ70" s="71"/>
      <c r="DK70" s="71"/>
      <c r="DL70" s="71"/>
      <c r="DM70" s="71"/>
      <c r="DN70" s="71"/>
      <c r="DO70" s="71"/>
      <c r="DP70" s="71"/>
      <c r="DQ70" s="105"/>
      <c r="DR70" s="124"/>
      <c r="DS70" s="102"/>
      <c r="DT70" s="96"/>
      <c r="DU70" s="71"/>
      <c r="DV70" s="71"/>
      <c r="DW70" s="71"/>
      <c r="DX70" s="71"/>
      <c r="DY70" s="71"/>
      <c r="DZ70" s="71"/>
      <c r="EA70" s="71"/>
      <c r="EB70" s="71"/>
      <c r="EC70" s="71"/>
      <c r="ED70" s="71"/>
      <c r="EE70" s="71"/>
      <c r="EF70" s="71"/>
      <c r="EG70" s="71"/>
      <c r="EH70" s="71"/>
      <c r="EI70" s="71"/>
      <c r="EJ70" s="71"/>
      <c r="EK70" s="71"/>
      <c r="EL70" s="83"/>
      <c r="EM70" s="71"/>
      <c r="EN70" s="71"/>
      <c r="EO70" s="71"/>
      <c r="EP70" s="71"/>
      <c r="EQ70" s="71"/>
      <c r="ER70" s="71"/>
      <c r="ES70" s="71"/>
      <c r="ET70" s="71"/>
      <c r="EU70" s="71"/>
      <c r="EV70" s="71"/>
      <c r="EW70" s="71"/>
      <c r="EX70" s="71"/>
      <c r="EY70" s="71"/>
      <c r="EZ70" s="71"/>
      <c r="FA70" s="71"/>
      <c r="FB70" s="71"/>
      <c r="FC70" s="71"/>
      <c r="FD70" s="125"/>
      <c r="FE70" s="71"/>
      <c r="FF70" s="71"/>
      <c r="FG70" s="71"/>
      <c r="FH70" s="71"/>
      <c r="FI70" s="71"/>
      <c r="FJ70" s="71"/>
      <c r="FK70" s="71"/>
      <c r="FL70" s="71"/>
      <c r="FM70" s="71"/>
      <c r="FN70" s="71"/>
      <c r="FO70" s="71"/>
      <c r="FP70" s="61"/>
      <c r="FQ70" s="71"/>
      <c r="FR70" s="71"/>
      <c r="FS70" s="71"/>
      <c r="FT70" s="105"/>
      <c r="FU70" s="105"/>
      <c r="FV70" s="126"/>
      <c r="FW70" s="96"/>
      <c r="FX70" s="71"/>
      <c r="FY70" s="71"/>
      <c r="FZ70" s="71"/>
      <c r="GA70" s="71"/>
      <c r="GB70" s="71"/>
      <c r="GC70" s="71"/>
      <c r="GD70" s="71"/>
      <c r="GE70" s="71"/>
      <c r="GF70" s="71"/>
      <c r="GG70" s="71"/>
      <c r="GH70" s="71"/>
      <c r="GI70" s="71"/>
      <c r="GJ70" s="71"/>
      <c r="GK70" s="71"/>
      <c r="GL70" s="71"/>
      <c r="GM70" s="71"/>
      <c r="GN70" s="71"/>
      <c r="GO70" s="115"/>
      <c r="GP70" s="71"/>
      <c r="GQ70" s="71"/>
      <c r="GR70" s="71"/>
      <c r="GS70" s="71"/>
      <c r="GT70" s="71"/>
      <c r="GU70" s="71"/>
      <c r="GV70" s="71"/>
      <c r="GW70" s="71"/>
      <c r="GX70" s="71"/>
      <c r="GY70" s="71"/>
      <c r="GZ70" s="71"/>
      <c r="HA70" s="71"/>
      <c r="HB70" s="71"/>
      <c r="HC70" s="71"/>
      <c r="HD70" s="71"/>
      <c r="HE70" s="71"/>
      <c r="HF70" s="71"/>
      <c r="HG70" s="128"/>
      <c r="HH70" s="71"/>
      <c r="HI70" s="71"/>
      <c r="HJ70" s="71"/>
      <c r="HK70" s="71"/>
      <c r="HL70" s="71"/>
      <c r="HM70" s="71"/>
      <c r="HN70" s="71"/>
      <c r="HO70" s="71"/>
      <c r="HP70" s="71"/>
      <c r="HQ70" s="71"/>
      <c r="HR70" s="71"/>
      <c r="HS70" s="61"/>
      <c r="HT70" s="71"/>
      <c r="HU70" s="71"/>
      <c r="HV70" s="71"/>
      <c r="HW70" s="105"/>
      <c r="HX70" s="105"/>
      <c r="HY70" s="102"/>
      <c r="HZ70" s="71"/>
      <c r="IA70" s="71"/>
    </row>
    <row r="71" spans="1:235" s="26" customFormat="1">
      <c r="B71" s="99"/>
      <c r="D71" s="106"/>
      <c r="L71" s="104"/>
      <c r="N71" s="99"/>
      <c r="O71" s="25"/>
      <c r="AF71" s="100"/>
      <c r="AX71" s="121"/>
      <c r="AY71" s="71"/>
      <c r="AZ71" s="71"/>
      <c r="BA71" s="71"/>
      <c r="BB71" s="71"/>
      <c r="BC71" s="71"/>
      <c r="BD71" s="71"/>
      <c r="BE71" s="71"/>
      <c r="BF71" s="71"/>
      <c r="BG71" s="71"/>
      <c r="BH71" s="71"/>
      <c r="BI71" s="71"/>
      <c r="BJ71" s="71"/>
      <c r="BK71" s="71"/>
      <c r="BL71" s="71"/>
      <c r="BM71" s="61"/>
      <c r="BN71" s="105"/>
      <c r="BO71" s="97"/>
      <c r="BP71" s="98"/>
      <c r="BQ71" s="99"/>
      <c r="CI71" s="100"/>
      <c r="DA71" s="125"/>
      <c r="DB71" s="71"/>
      <c r="DC71" s="71"/>
      <c r="DD71" s="71"/>
      <c r="DE71" s="71"/>
      <c r="DF71" s="71"/>
      <c r="DG71" s="71"/>
      <c r="DH71" s="71"/>
      <c r="DI71" s="71"/>
      <c r="DJ71" s="71"/>
      <c r="DK71" s="71"/>
      <c r="DL71" s="71"/>
      <c r="DM71" s="71"/>
      <c r="DN71" s="71"/>
      <c r="DO71" s="71"/>
      <c r="DP71" s="71"/>
      <c r="DQ71" s="105"/>
      <c r="DR71" s="97"/>
      <c r="DS71" s="98"/>
      <c r="DT71" s="99"/>
      <c r="EL71" s="100"/>
      <c r="FD71" s="101"/>
      <c r="FM71" s="71"/>
      <c r="FN71" s="71"/>
      <c r="FO71" s="71"/>
      <c r="FP71" s="71"/>
      <c r="FQ71" s="71"/>
      <c r="FR71" s="71"/>
      <c r="FS71" s="71"/>
      <c r="FT71" s="105"/>
      <c r="FU71" s="97"/>
      <c r="FV71" s="98"/>
      <c r="FW71" s="99"/>
      <c r="GO71" s="100"/>
      <c r="HG71" s="122"/>
      <c r="HS71" s="61"/>
      <c r="HW71" s="97"/>
      <c r="HX71" s="97"/>
      <c r="HY71" s="102"/>
    </row>
    <row r="72" spans="1:235" s="26" customFormat="1">
      <c r="B72" s="99"/>
      <c r="D72" s="106"/>
      <c r="L72" s="104"/>
      <c r="N72" s="99"/>
      <c r="O72" s="25"/>
      <c r="AF72" s="100"/>
      <c r="AX72" s="121"/>
      <c r="AY72" s="71"/>
      <c r="AZ72" s="71"/>
      <c r="BA72" s="71"/>
      <c r="BB72" s="71"/>
      <c r="BC72" s="71"/>
      <c r="BD72" s="71"/>
      <c r="BE72" s="71"/>
      <c r="BF72" s="71"/>
      <c r="BG72" s="71"/>
      <c r="BH72" s="71"/>
      <c r="BI72" s="71"/>
      <c r="BJ72" s="71"/>
      <c r="BK72" s="71"/>
      <c r="BL72" s="71"/>
      <c r="BM72" s="61"/>
      <c r="BN72" s="105"/>
      <c r="BO72" s="97"/>
      <c r="BP72" s="98"/>
      <c r="BQ72" s="99"/>
      <c r="CI72" s="100"/>
      <c r="DA72" s="125"/>
      <c r="DB72" s="71"/>
      <c r="DC72" s="71"/>
      <c r="DD72" s="71"/>
      <c r="DE72" s="71"/>
      <c r="DF72" s="71"/>
      <c r="DG72" s="71"/>
      <c r="DH72" s="71"/>
      <c r="DI72" s="71"/>
      <c r="DJ72" s="71"/>
      <c r="DK72" s="71"/>
      <c r="DL72" s="71"/>
      <c r="DM72" s="71"/>
      <c r="DN72" s="71"/>
      <c r="DO72" s="71"/>
      <c r="DP72" s="71"/>
      <c r="DQ72" s="105"/>
      <c r="DR72" s="97"/>
      <c r="DS72" s="98"/>
      <c r="DT72" s="99"/>
      <c r="EL72" s="100"/>
      <c r="FD72" s="101"/>
      <c r="FM72" s="71"/>
      <c r="FN72" s="71"/>
      <c r="FO72" s="71"/>
      <c r="FP72" s="71"/>
      <c r="FQ72" s="71"/>
      <c r="FR72" s="71"/>
      <c r="FS72" s="71"/>
      <c r="FT72" s="105"/>
      <c r="FU72" s="97"/>
      <c r="FV72" s="98"/>
      <c r="FW72" s="99"/>
      <c r="GO72" s="100"/>
      <c r="HG72" s="122"/>
      <c r="HS72" s="61"/>
      <c r="HW72" s="97"/>
      <c r="HX72" s="97"/>
      <c r="HY72" s="102"/>
    </row>
    <row r="73" spans="1:235" s="26" customFormat="1">
      <c r="B73" s="99"/>
      <c r="D73" s="106"/>
      <c r="L73" s="104"/>
      <c r="N73" s="99"/>
      <c r="O73" s="25"/>
      <c r="AF73" s="100"/>
      <c r="AX73" s="121"/>
      <c r="AY73" s="71"/>
      <c r="AZ73" s="71"/>
      <c r="BA73" s="71"/>
      <c r="BB73" s="71"/>
      <c r="BC73" s="71"/>
      <c r="BD73" s="71"/>
      <c r="BE73" s="71"/>
      <c r="BF73" s="71"/>
      <c r="BG73" s="71"/>
      <c r="BH73" s="71"/>
      <c r="BI73" s="71"/>
      <c r="BJ73" s="71"/>
      <c r="BK73" s="71"/>
      <c r="BL73" s="71"/>
      <c r="BM73" s="61"/>
      <c r="BN73" s="105"/>
      <c r="BO73" s="97"/>
      <c r="BP73" s="98"/>
      <c r="BQ73" s="99"/>
      <c r="CI73" s="100"/>
      <c r="DA73" s="101"/>
      <c r="DB73" s="71"/>
      <c r="DC73" s="71"/>
      <c r="DD73" s="71"/>
      <c r="DE73" s="71"/>
      <c r="DF73" s="71"/>
      <c r="DG73" s="71"/>
      <c r="DH73" s="71"/>
      <c r="DI73" s="71"/>
      <c r="DJ73" s="71"/>
      <c r="DK73" s="71"/>
      <c r="DL73" s="71"/>
      <c r="DM73" s="71"/>
      <c r="DN73" s="71"/>
      <c r="DO73" s="71"/>
      <c r="DP73" s="71"/>
      <c r="DQ73" s="105"/>
      <c r="DR73" s="97"/>
      <c r="DS73" s="98"/>
      <c r="DT73" s="99"/>
      <c r="EL73" s="100"/>
      <c r="FD73" s="101"/>
      <c r="FM73" s="71"/>
      <c r="FN73" s="71"/>
      <c r="FO73" s="71"/>
      <c r="FP73" s="71"/>
      <c r="FQ73" s="71"/>
      <c r="FR73" s="71"/>
      <c r="FS73" s="71"/>
      <c r="FT73" s="105"/>
      <c r="FU73" s="97"/>
      <c r="FV73" s="98"/>
      <c r="FW73" s="99"/>
      <c r="GO73" s="100"/>
      <c r="HG73" s="122"/>
      <c r="HS73" s="61"/>
      <c r="HW73" s="97"/>
      <c r="HX73" s="97"/>
      <c r="HY73" s="102"/>
    </row>
    <row r="74" spans="1:235" s="26" customFormat="1">
      <c r="B74" s="99"/>
      <c r="D74" s="106"/>
      <c r="L74" s="104"/>
      <c r="N74" s="99"/>
      <c r="O74" s="25"/>
      <c r="AF74" s="100"/>
      <c r="AX74" s="121"/>
      <c r="AY74" s="71"/>
      <c r="AZ74" s="71"/>
      <c r="BA74" s="71"/>
      <c r="BB74" s="71"/>
      <c r="BC74" s="71"/>
      <c r="BD74" s="71"/>
      <c r="BE74" s="71"/>
      <c r="BF74" s="71"/>
      <c r="BG74" s="71"/>
      <c r="BH74" s="71"/>
      <c r="BI74" s="71"/>
      <c r="BJ74" s="71"/>
      <c r="BK74" s="71"/>
      <c r="BL74" s="71"/>
      <c r="BM74" s="61"/>
      <c r="BN74" s="105"/>
      <c r="BO74" s="97"/>
      <c r="BP74" s="98"/>
      <c r="BQ74" s="99"/>
      <c r="CI74" s="100"/>
      <c r="DA74" s="101"/>
      <c r="DB74" s="71"/>
      <c r="DC74" s="71"/>
      <c r="DD74" s="71"/>
      <c r="DE74" s="71"/>
      <c r="DF74" s="71"/>
      <c r="DG74" s="71"/>
      <c r="DH74" s="71"/>
      <c r="DI74" s="71"/>
      <c r="DJ74" s="71"/>
      <c r="DK74" s="71"/>
      <c r="DL74" s="71"/>
      <c r="DM74" s="71"/>
      <c r="DN74" s="71"/>
      <c r="DO74" s="71"/>
      <c r="DP74" s="71"/>
      <c r="DQ74" s="105"/>
      <c r="DR74" s="97"/>
      <c r="DS74" s="98"/>
      <c r="DT74" s="99"/>
      <c r="EL74" s="100"/>
      <c r="FD74" s="101"/>
      <c r="FM74" s="71"/>
      <c r="FN74" s="71"/>
      <c r="FO74" s="71"/>
      <c r="FP74" s="71"/>
      <c r="FQ74" s="71"/>
      <c r="FR74" s="71"/>
      <c r="FS74" s="71"/>
      <c r="FT74" s="105"/>
      <c r="FU74" s="97"/>
      <c r="FV74" s="98"/>
      <c r="FW74" s="99"/>
      <c r="GO74" s="100"/>
      <c r="HG74" s="122"/>
      <c r="HS74" s="61"/>
      <c r="HW74" s="97"/>
      <c r="HX74" s="97"/>
      <c r="HY74" s="102"/>
    </row>
    <row r="75" spans="1:235" s="26" customFormat="1">
      <c r="A75" s="71"/>
      <c r="B75" s="70"/>
      <c r="C75" s="25"/>
      <c r="D75" s="106"/>
      <c r="L75" s="106"/>
      <c r="M75" s="25"/>
      <c r="N75" s="70"/>
      <c r="O75" s="25"/>
      <c r="P75" s="25"/>
      <c r="Q75" s="25"/>
      <c r="R75" s="25"/>
      <c r="S75" s="25"/>
      <c r="T75" s="25"/>
      <c r="AF75" s="100"/>
      <c r="AX75" s="121"/>
      <c r="AY75" s="71"/>
      <c r="AZ75" s="71"/>
      <c r="BA75" s="71"/>
      <c r="BB75" s="71"/>
      <c r="BC75" s="71"/>
      <c r="BD75" s="71"/>
      <c r="BE75" s="71"/>
      <c r="BF75" s="71"/>
      <c r="BG75" s="71"/>
      <c r="BH75" s="71"/>
      <c r="BI75" s="71"/>
      <c r="BJ75" s="71"/>
      <c r="BK75" s="71"/>
      <c r="BL75" s="71"/>
      <c r="BM75" s="61"/>
      <c r="BN75" s="105"/>
      <c r="BO75" s="97"/>
      <c r="BP75" s="98"/>
      <c r="BQ75" s="99"/>
      <c r="CI75" s="100"/>
      <c r="DA75" s="101"/>
      <c r="DB75" s="71"/>
      <c r="DC75" s="71"/>
      <c r="DD75" s="71"/>
      <c r="DE75" s="71"/>
      <c r="DF75" s="71"/>
      <c r="DG75" s="71"/>
      <c r="DH75" s="71"/>
      <c r="DI75" s="71"/>
      <c r="DJ75" s="71"/>
      <c r="DK75" s="71"/>
      <c r="DL75" s="71"/>
      <c r="DM75" s="71"/>
      <c r="DN75" s="71"/>
      <c r="DO75" s="71"/>
      <c r="DP75" s="71"/>
      <c r="DQ75" s="105"/>
      <c r="DR75" s="97"/>
      <c r="DS75" s="98"/>
      <c r="DT75" s="99"/>
      <c r="EL75" s="100"/>
      <c r="FD75" s="101"/>
      <c r="FM75" s="71"/>
      <c r="FN75" s="71"/>
      <c r="FO75" s="71"/>
      <c r="FP75" s="71"/>
      <c r="FQ75" s="71"/>
      <c r="FR75" s="71"/>
      <c r="FS75" s="71"/>
      <c r="FT75" s="105"/>
      <c r="FU75" s="97"/>
      <c r="FV75" s="98"/>
      <c r="FW75" s="99"/>
      <c r="GO75" s="100"/>
      <c r="HG75" s="122"/>
      <c r="HS75" s="61"/>
      <c r="HW75" s="97"/>
      <c r="HX75" s="97"/>
      <c r="HY75" s="102"/>
    </row>
    <row r="76" spans="1:235" s="26" customFormat="1">
      <c r="A76" s="71"/>
      <c r="B76" s="70"/>
      <c r="C76" s="25"/>
      <c r="D76" s="106"/>
      <c r="L76" s="106"/>
      <c r="M76" s="25"/>
      <c r="N76" s="70"/>
      <c r="O76" s="25"/>
      <c r="P76" s="25"/>
      <c r="Q76" s="25"/>
      <c r="R76" s="25"/>
      <c r="AF76" s="100"/>
      <c r="AX76" s="121"/>
      <c r="AY76" s="71"/>
      <c r="AZ76" s="71"/>
      <c r="BA76" s="71"/>
      <c r="BB76" s="71"/>
      <c r="BC76" s="71"/>
      <c r="BD76" s="71"/>
      <c r="BE76" s="71"/>
      <c r="BF76" s="71"/>
      <c r="BG76" s="71"/>
      <c r="BH76" s="71"/>
      <c r="BI76" s="71"/>
      <c r="BJ76" s="71"/>
      <c r="BK76" s="71"/>
      <c r="BL76" s="71"/>
      <c r="BM76" s="61"/>
      <c r="BN76" s="105"/>
      <c r="BO76" s="97"/>
      <c r="BP76" s="98"/>
      <c r="BQ76" s="99"/>
      <c r="CI76" s="100"/>
      <c r="DA76" s="101"/>
      <c r="DB76" s="71"/>
      <c r="DC76" s="71"/>
      <c r="DD76" s="71"/>
      <c r="DE76" s="71"/>
      <c r="DF76" s="71"/>
      <c r="DG76" s="71"/>
      <c r="DH76" s="71"/>
      <c r="DI76" s="71"/>
      <c r="DJ76" s="71"/>
      <c r="DK76" s="71"/>
      <c r="DL76" s="71"/>
      <c r="DM76" s="71"/>
      <c r="DN76" s="71"/>
      <c r="DO76" s="71"/>
      <c r="DP76" s="71"/>
      <c r="DQ76" s="105"/>
      <c r="DR76" s="97"/>
      <c r="DS76" s="98"/>
      <c r="DT76" s="99"/>
      <c r="EL76" s="100"/>
      <c r="FD76" s="101"/>
      <c r="FM76" s="71"/>
      <c r="FN76" s="71"/>
      <c r="FO76" s="71"/>
      <c r="FP76" s="71"/>
      <c r="FQ76" s="71"/>
      <c r="FR76" s="71"/>
      <c r="FS76" s="71"/>
      <c r="FT76" s="105"/>
      <c r="FU76" s="97"/>
      <c r="FV76" s="98"/>
      <c r="FW76" s="99"/>
      <c r="GO76" s="100"/>
      <c r="HG76" s="122"/>
      <c r="HW76" s="97"/>
      <c r="HX76" s="97"/>
      <c r="HY76" s="102"/>
    </row>
    <row r="77" spans="1:235" s="26" customFormat="1">
      <c r="B77" s="99"/>
      <c r="D77" s="104"/>
      <c r="L77" s="104"/>
      <c r="N77" s="99"/>
      <c r="AF77" s="100"/>
      <c r="AX77" s="122"/>
      <c r="AY77" s="71"/>
      <c r="AZ77" s="71"/>
      <c r="BA77" s="71"/>
      <c r="BB77" s="71"/>
      <c r="BC77" s="71"/>
      <c r="BD77" s="71"/>
      <c r="BE77" s="71"/>
      <c r="BF77" s="71"/>
      <c r="BG77" s="71"/>
      <c r="BH77" s="71"/>
      <c r="BI77" s="71"/>
      <c r="BJ77" s="71"/>
      <c r="BK77" s="71"/>
      <c r="BL77" s="71"/>
      <c r="BM77" s="71"/>
      <c r="BN77" s="105"/>
      <c r="BO77" s="97"/>
      <c r="BP77" s="98"/>
      <c r="BQ77" s="99"/>
      <c r="CI77" s="100"/>
      <c r="DA77" s="101"/>
      <c r="DB77" s="71"/>
      <c r="DC77" s="71"/>
      <c r="DD77" s="71"/>
      <c r="DE77" s="71"/>
      <c r="DF77" s="71"/>
      <c r="DG77" s="71"/>
      <c r="DH77" s="71"/>
      <c r="DI77" s="71"/>
      <c r="DJ77" s="71"/>
      <c r="DK77" s="71"/>
      <c r="DL77" s="71"/>
      <c r="DM77" s="71"/>
      <c r="DN77" s="71"/>
      <c r="DO77" s="71"/>
      <c r="DP77" s="71"/>
      <c r="DQ77" s="105"/>
      <c r="DR77" s="97"/>
      <c r="DS77" s="98"/>
      <c r="DT77" s="99"/>
      <c r="EL77" s="100"/>
      <c r="FD77" s="101"/>
      <c r="FT77" s="97"/>
      <c r="FU77" s="97"/>
      <c r="FV77" s="98"/>
      <c r="FW77" s="99"/>
      <c r="GO77" s="100"/>
      <c r="HG77" s="122"/>
      <c r="HW77" s="97"/>
      <c r="HX77" s="97"/>
      <c r="HY77" s="102"/>
    </row>
    <row r="78" spans="1:235" s="26" customFormat="1">
      <c r="B78" s="99"/>
      <c r="D78" s="104"/>
      <c r="L78" s="104"/>
      <c r="N78" s="99"/>
      <c r="AF78" s="100"/>
      <c r="AX78" s="122"/>
      <c r="AY78" s="71"/>
      <c r="AZ78" s="71"/>
      <c r="BA78" s="71"/>
      <c r="BB78" s="71"/>
      <c r="BC78" s="71"/>
      <c r="BD78" s="71"/>
      <c r="BE78" s="71"/>
      <c r="BF78" s="71"/>
      <c r="BG78" s="71"/>
      <c r="BH78" s="71"/>
      <c r="BI78" s="71"/>
      <c r="BJ78" s="71"/>
      <c r="BK78" s="71"/>
      <c r="BL78" s="71"/>
      <c r="BM78" s="71"/>
      <c r="BN78" s="105"/>
      <c r="BO78" s="97"/>
      <c r="BP78" s="98"/>
      <c r="BQ78" s="99"/>
      <c r="CI78" s="100"/>
      <c r="DA78" s="101"/>
      <c r="DB78" s="71"/>
      <c r="DC78" s="71"/>
      <c r="DD78" s="71"/>
      <c r="DE78" s="71"/>
      <c r="DF78" s="71"/>
      <c r="DG78" s="71"/>
      <c r="DH78" s="71"/>
      <c r="DI78" s="71"/>
      <c r="DJ78" s="71"/>
      <c r="DK78" s="71"/>
      <c r="DL78" s="71"/>
      <c r="DM78" s="71"/>
      <c r="DN78" s="71"/>
      <c r="DO78" s="71"/>
      <c r="DP78" s="71"/>
      <c r="DQ78" s="105"/>
      <c r="DR78" s="97"/>
      <c r="DS78" s="98"/>
      <c r="DT78" s="99"/>
      <c r="EL78" s="100"/>
      <c r="FD78" s="101"/>
      <c r="FT78" s="97"/>
      <c r="FU78" s="97"/>
      <c r="FV78" s="98"/>
      <c r="FW78" s="99"/>
      <c r="GO78" s="100"/>
      <c r="HG78" s="122"/>
      <c r="HW78" s="97"/>
      <c r="HX78" s="97"/>
      <c r="HY78" s="102"/>
    </row>
    <row r="79" spans="1:235" s="26" customFormat="1">
      <c r="B79" s="99"/>
      <c r="D79" s="104"/>
      <c r="L79" s="104"/>
      <c r="N79" s="99"/>
      <c r="AF79" s="100"/>
      <c r="AX79" s="122"/>
      <c r="AY79" s="71"/>
      <c r="AZ79" s="71"/>
      <c r="BA79" s="71"/>
      <c r="BB79" s="71"/>
      <c r="BC79" s="71"/>
      <c r="BD79" s="71"/>
      <c r="BE79" s="71"/>
      <c r="BF79" s="71"/>
      <c r="BG79" s="71"/>
      <c r="BH79" s="71"/>
      <c r="BI79" s="71"/>
      <c r="BJ79" s="71"/>
      <c r="BK79" s="71"/>
      <c r="BL79" s="71"/>
      <c r="BM79" s="71"/>
      <c r="BN79" s="105"/>
      <c r="BO79" s="97"/>
      <c r="BP79" s="98"/>
      <c r="BQ79" s="99"/>
      <c r="CI79" s="100"/>
      <c r="DA79" s="101"/>
      <c r="DB79" s="71"/>
      <c r="DC79" s="71"/>
      <c r="DD79" s="71"/>
      <c r="DE79" s="71"/>
      <c r="DF79" s="71"/>
      <c r="DG79" s="71"/>
      <c r="DH79" s="71"/>
      <c r="DI79" s="71"/>
      <c r="DJ79" s="71"/>
      <c r="DK79" s="71"/>
      <c r="DL79" s="71"/>
      <c r="DM79" s="71"/>
      <c r="DN79" s="71"/>
      <c r="DO79" s="71"/>
      <c r="DP79" s="71"/>
      <c r="DQ79" s="105"/>
      <c r="DR79" s="97"/>
      <c r="DS79" s="98"/>
      <c r="DT79" s="99"/>
      <c r="EL79" s="100"/>
      <c r="FD79" s="101"/>
      <c r="FT79" s="97"/>
      <c r="FU79" s="97"/>
      <c r="FV79" s="98"/>
      <c r="FW79" s="99"/>
      <c r="GO79" s="100"/>
      <c r="HG79" s="122"/>
      <c r="HW79" s="97"/>
      <c r="HX79" s="97"/>
      <c r="HY79" s="102"/>
    </row>
    <row r="80" spans="1:235" s="26" customFormat="1">
      <c r="B80" s="99"/>
      <c r="D80" s="104"/>
      <c r="L80" s="104"/>
      <c r="N80" s="99"/>
      <c r="AF80" s="100"/>
      <c r="AX80" s="122"/>
      <c r="AY80" s="71"/>
      <c r="AZ80" s="71"/>
      <c r="BA80" s="71"/>
      <c r="BB80" s="71"/>
      <c r="BC80" s="71"/>
      <c r="BD80" s="71"/>
      <c r="BE80" s="71"/>
      <c r="BF80" s="71"/>
      <c r="BG80" s="71"/>
      <c r="BH80" s="71"/>
      <c r="BI80" s="71"/>
      <c r="BJ80" s="71"/>
      <c r="BK80" s="71"/>
      <c r="BL80" s="71"/>
      <c r="BM80" s="71"/>
      <c r="BN80" s="105"/>
      <c r="BO80" s="97"/>
      <c r="BP80" s="98"/>
      <c r="BQ80" s="99"/>
      <c r="CI80" s="100"/>
      <c r="DA80" s="101"/>
      <c r="DB80" s="71"/>
      <c r="DC80" s="71"/>
      <c r="DD80" s="71"/>
      <c r="DE80" s="71"/>
      <c r="DF80" s="71"/>
      <c r="DG80" s="71"/>
      <c r="DH80" s="71"/>
      <c r="DI80" s="71"/>
      <c r="DJ80" s="71"/>
      <c r="DK80" s="71"/>
      <c r="DL80" s="71"/>
      <c r="DM80" s="71"/>
      <c r="DN80" s="71"/>
      <c r="DO80" s="71"/>
      <c r="DP80" s="71"/>
      <c r="DQ80" s="105"/>
      <c r="DR80" s="97"/>
      <c r="DS80" s="98"/>
      <c r="DT80" s="99"/>
      <c r="EL80" s="100"/>
      <c r="FD80" s="101"/>
      <c r="FT80" s="97"/>
      <c r="FU80" s="97"/>
      <c r="FV80" s="98"/>
      <c r="FW80" s="99"/>
      <c r="GO80" s="100"/>
      <c r="HG80" s="122"/>
      <c r="HW80" s="97"/>
      <c r="HX80" s="97"/>
      <c r="HY80" s="102"/>
    </row>
    <row r="81" spans="2:233" s="26" customFormat="1">
      <c r="B81" s="99"/>
      <c r="D81" s="104"/>
      <c r="L81" s="104"/>
      <c r="N81" s="99"/>
      <c r="AF81" s="100"/>
      <c r="AX81" s="122"/>
      <c r="AY81" s="71"/>
      <c r="AZ81" s="71"/>
      <c r="BA81" s="71"/>
      <c r="BB81" s="71"/>
      <c r="BC81" s="71"/>
      <c r="BD81" s="71"/>
      <c r="BE81" s="71"/>
      <c r="BF81" s="71"/>
      <c r="BG81" s="71"/>
      <c r="BH81" s="71"/>
      <c r="BI81" s="71"/>
      <c r="BJ81" s="71"/>
      <c r="BK81" s="71"/>
      <c r="BL81" s="71"/>
      <c r="BM81" s="71"/>
      <c r="BN81" s="105"/>
      <c r="BO81" s="97"/>
      <c r="BP81" s="98"/>
      <c r="BQ81" s="99"/>
      <c r="CI81" s="100"/>
      <c r="DA81" s="101"/>
      <c r="DB81" s="71"/>
      <c r="DC81" s="71"/>
      <c r="DD81" s="71"/>
      <c r="DE81" s="71"/>
      <c r="DF81" s="71"/>
      <c r="DG81" s="71"/>
      <c r="DH81" s="71"/>
      <c r="DI81" s="71"/>
      <c r="DJ81" s="71"/>
      <c r="DK81" s="71"/>
      <c r="DL81" s="71"/>
      <c r="DM81" s="71"/>
      <c r="DN81" s="71"/>
      <c r="DO81" s="71"/>
      <c r="DP81" s="71"/>
      <c r="DQ81" s="105"/>
      <c r="DR81" s="97"/>
      <c r="DS81" s="98"/>
      <c r="DT81" s="99"/>
      <c r="EL81" s="100"/>
      <c r="FD81" s="101"/>
      <c r="FT81" s="97"/>
      <c r="FU81" s="97"/>
      <c r="FV81" s="98"/>
      <c r="FW81" s="99"/>
      <c r="GO81" s="100"/>
      <c r="HG81" s="122"/>
      <c r="HW81" s="97"/>
      <c r="HX81" s="97"/>
      <c r="HY81" s="102"/>
    </row>
    <row r="82" spans="2:233" s="26" customFormat="1">
      <c r="B82" s="99"/>
      <c r="D82" s="104"/>
      <c r="L82" s="104"/>
      <c r="N82" s="99"/>
      <c r="AF82" s="100"/>
      <c r="AX82" s="122"/>
      <c r="AY82" s="71"/>
      <c r="AZ82" s="71"/>
      <c r="BA82" s="71"/>
      <c r="BB82" s="71"/>
      <c r="BC82" s="71"/>
      <c r="BD82" s="71"/>
      <c r="BE82" s="71"/>
      <c r="BF82" s="71"/>
      <c r="BG82" s="71"/>
      <c r="BH82" s="71"/>
      <c r="BI82" s="71"/>
      <c r="BJ82" s="71"/>
      <c r="BK82" s="71"/>
      <c r="BL82" s="71"/>
      <c r="BM82" s="71"/>
      <c r="BN82" s="105"/>
      <c r="BO82" s="97"/>
      <c r="BP82" s="98"/>
      <c r="BQ82" s="99"/>
      <c r="CI82" s="100"/>
      <c r="DA82" s="101"/>
      <c r="DB82" s="71"/>
      <c r="DC82" s="71"/>
      <c r="DD82" s="71"/>
      <c r="DE82" s="71"/>
      <c r="DF82" s="71"/>
      <c r="DG82" s="71"/>
      <c r="DH82" s="71"/>
      <c r="DI82" s="71"/>
      <c r="DJ82" s="71"/>
      <c r="DK82" s="71"/>
      <c r="DL82" s="71"/>
      <c r="DM82" s="71"/>
      <c r="DN82" s="71"/>
      <c r="DO82" s="71"/>
      <c r="DP82" s="71"/>
      <c r="DQ82" s="105"/>
      <c r="DR82" s="97"/>
      <c r="DS82" s="98"/>
      <c r="DT82" s="99"/>
      <c r="EL82" s="100"/>
      <c r="FD82" s="101"/>
      <c r="FT82" s="97"/>
      <c r="FU82" s="97"/>
      <c r="FV82" s="98"/>
      <c r="FW82" s="99"/>
      <c r="GO82" s="100"/>
      <c r="HG82" s="122"/>
      <c r="HW82" s="97"/>
      <c r="HX82" s="97"/>
      <c r="HY82" s="102"/>
    </row>
    <row r="83" spans="2:233" s="26" customFormat="1">
      <c r="B83" s="99"/>
      <c r="D83" s="104"/>
      <c r="L83" s="104"/>
      <c r="N83" s="99"/>
      <c r="AF83" s="100"/>
      <c r="AX83" s="122"/>
      <c r="AY83" s="71"/>
      <c r="AZ83" s="71"/>
      <c r="BA83" s="71"/>
      <c r="BB83" s="71"/>
      <c r="BC83" s="71"/>
      <c r="BD83" s="71"/>
      <c r="BE83" s="71"/>
      <c r="BF83" s="71"/>
      <c r="BG83" s="71"/>
      <c r="BH83" s="71"/>
      <c r="BI83" s="71"/>
      <c r="BJ83" s="71"/>
      <c r="BK83" s="71"/>
      <c r="BL83" s="71"/>
      <c r="BM83" s="71"/>
      <c r="BN83" s="105"/>
      <c r="BO83" s="97"/>
      <c r="BP83" s="98"/>
      <c r="BQ83" s="99"/>
      <c r="CI83" s="100"/>
      <c r="DA83" s="101"/>
      <c r="DB83" s="71"/>
      <c r="DC83" s="71"/>
      <c r="DD83" s="71"/>
      <c r="DE83" s="71"/>
      <c r="DF83" s="71"/>
      <c r="DG83" s="71"/>
      <c r="DH83" s="71"/>
      <c r="DI83" s="71"/>
      <c r="DJ83" s="71"/>
      <c r="DK83" s="71"/>
      <c r="DL83" s="71"/>
      <c r="DM83" s="71"/>
      <c r="DN83" s="71"/>
      <c r="DO83" s="71"/>
      <c r="DP83" s="71"/>
      <c r="DQ83" s="105"/>
      <c r="DR83" s="97"/>
      <c r="DS83" s="98"/>
      <c r="DT83" s="99"/>
      <c r="EL83" s="100"/>
      <c r="FD83" s="101"/>
      <c r="FT83" s="97"/>
      <c r="FU83" s="97"/>
      <c r="FV83" s="98"/>
      <c r="FW83" s="99"/>
      <c r="GO83" s="100"/>
      <c r="HG83" s="122"/>
      <c r="HW83" s="97"/>
      <c r="HX83" s="97"/>
      <c r="HY83" s="102"/>
    </row>
    <row r="84" spans="2:233" s="26" customFormat="1">
      <c r="B84" s="99"/>
      <c r="D84" s="104"/>
      <c r="L84" s="104"/>
      <c r="N84" s="99"/>
      <c r="AF84" s="100"/>
      <c r="AX84" s="122"/>
      <c r="AY84" s="71"/>
      <c r="AZ84" s="71"/>
      <c r="BA84" s="71"/>
      <c r="BB84" s="71"/>
      <c r="BC84" s="71"/>
      <c r="BD84" s="71"/>
      <c r="BE84" s="71"/>
      <c r="BF84" s="71"/>
      <c r="BG84" s="71"/>
      <c r="BH84" s="71"/>
      <c r="BI84" s="71"/>
      <c r="BJ84" s="71"/>
      <c r="BK84" s="71"/>
      <c r="BL84" s="71"/>
      <c r="BM84" s="71"/>
      <c r="BN84" s="105"/>
      <c r="BO84" s="97"/>
      <c r="BP84" s="98"/>
      <c r="BQ84" s="99"/>
      <c r="CI84" s="100"/>
      <c r="DA84" s="101"/>
      <c r="DB84" s="71"/>
      <c r="DC84" s="71"/>
      <c r="DD84" s="71"/>
      <c r="DE84" s="71"/>
      <c r="DF84" s="71"/>
      <c r="DG84" s="71"/>
      <c r="DH84" s="71"/>
      <c r="DI84" s="71"/>
      <c r="DJ84" s="71"/>
      <c r="DK84" s="71"/>
      <c r="DL84" s="71"/>
      <c r="DM84" s="71"/>
      <c r="DN84" s="71"/>
      <c r="DO84" s="71"/>
      <c r="DP84" s="71"/>
      <c r="DQ84" s="105"/>
      <c r="DR84" s="97"/>
      <c r="DS84" s="98"/>
      <c r="DT84" s="99"/>
      <c r="EL84" s="100"/>
      <c r="FD84" s="101"/>
      <c r="FT84" s="97"/>
      <c r="FU84" s="97"/>
      <c r="FV84" s="98"/>
      <c r="FW84" s="99"/>
      <c r="GO84" s="100"/>
      <c r="HG84" s="122"/>
      <c r="HW84" s="97"/>
      <c r="HX84" s="97"/>
      <c r="HY84" s="102"/>
    </row>
    <row r="85" spans="2:233" s="26" customFormat="1">
      <c r="B85" s="99"/>
      <c r="D85" s="104"/>
      <c r="L85" s="104"/>
      <c r="N85" s="99"/>
      <c r="AF85" s="100"/>
      <c r="AX85" s="122"/>
      <c r="AY85" s="71"/>
      <c r="AZ85" s="71"/>
      <c r="BA85" s="71"/>
      <c r="BB85" s="71"/>
      <c r="BC85" s="71"/>
      <c r="BD85" s="71"/>
      <c r="BE85" s="71"/>
      <c r="BF85" s="71"/>
      <c r="BG85" s="71"/>
      <c r="BH85" s="71"/>
      <c r="BI85" s="71"/>
      <c r="BJ85" s="71"/>
      <c r="BK85" s="71"/>
      <c r="BL85" s="71"/>
      <c r="BM85" s="71"/>
      <c r="BN85" s="105"/>
      <c r="BO85" s="97"/>
      <c r="BP85" s="98"/>
      <c r="BQ85" s="99"/>
      <c r="CI85" s="100"/>
      <c r="DA85" s="101"/>
      <c r="DB85" s="71"/>
      <c r="DC85" s="71"/>
      <c r="DD85" s="71"/>
      <c r="DE85" s="71"/>
      <c r="DF85" s="71"/>
      <c r="DG85" s="71"/>
      <c r="DH85" s="71"/>
      <c r="DI85" s="71"/>
      <c r="DJ85" s="71"/>
      <c r="DK85" s="71"/>
      <c r="DL85" s="71"/>
      <c r="DM85" s="71"/>
      <c r="DN85" s="71"/>
      <c r="DO85" s="71"/>
      <c r="DP85" s="71"/>
      <c r="DQ85" s="105"/>
      <c r="DR85" s="97"/>
      <c r="DS85" s="98"/>
      <c r="DT85" s="99"/>
      <c r="EL85" s="100"/>
      <c r="FD85" s="101"/>
      <c r="FT85" s="97"/>
      <c r="FU85" s="97"/>
      <c r="FV85" s="98"/>
      <c r="FW85" s="99"/>
      <c r="GO85" s="100"/>
      <c r="HG85" s="122"/>
      <c r="HW85" s="97"/>
      <c r="HX85" s="97"/>
      <c r="HY85" s="102"/>
    </row>
    <row r="86" spans="2:233" s="26" customFormat="1">
      <c r="B86" s="99"/>
      <c r="D86" s="104"/>
      <c r="L86" s="104"/>
      <c r="N86" s="99"/>
      <c r="AF86" s="100"/>
      <c r="AX86" s="122"/>
      <c r="AY86" s="71"/>
      <c r="AZ86" s="71"/>
      <c r="BA86" s="71"/>
      <c r="BB86" s="71"/>
      <c r="BC86" s="71"/>
      <c r="BD86" s="71"/>
      <c r="BE86" s="71"/>
      <c r="BF86" s="71"/>
      <c r="BG86" s="71"/>
      <c r="BH86" s="71"/>
      <c r="BI86" s="71"/>
      <c r="BJ86" s="71"/>
      <c r="BK86" s="71"/>
      <c r="BL86" s="71"/>
      <c r="BM86" s="71"/>
      <c r="BN86" s="105"/>
      <c r="BO86" s="97"/>
      <c r="BP86" s="98"/>
      <c r="BQ86" s="99"/>
      <c r="CI86" s="100"/>
      <c r="DA86" s="101"/>
      <c r="DB86" s="71"/>
      <c r="DC86" s="71"/>
      <c r="DD86" s="71"/>
      <c r="DE86" s="71"/>
      <c r="DF86" s="71"/>
      <c r="DG86" s="71"/>
      <c r="DH86" s="71"/>
      <c r="DI86" s="71"/>
      <c r="DJ86" s="71"/>
      <c r="DK86" s="71"/>
      <c r="DL86" s="71"/>
      <c r="DM86" s="71"/>
      <c r="DN86" s="71"/>
      <c r="DO86" s="71"/>
      <c r="DP86" s="71"/>
      <c r="DQ86" s="105"/>
      <c r="DR86" s="97"/>
      <c r="DS86" s="98"/>
      <c r="DT86" s="99"/>
      <c r="EL86" s="100"/>
      <c r="FD86" s="101"/>
      <c r="FT86" s="97"/>
      <c r="FU86" s="97"/>
      <c r="FV86" s="98"/>
      <c r="FW86" s="99"/>
      <c r="GO86" s="100"/>
      <c r="HG86" s="122"/>
      <c r="HW86" s="97"/>
      <c r="HX86" s="97"/>
      <c r="HY86" s="102"/>
    </row>
    <row r="87" spans="2:233" s="26" customFormat="1">
      <c r="B87" s="99"/>
      <c r="D87" s="104"/>
      <c r="L87" s="104"/>
      <c r="N87" s="99"/>
      <c r="AF87" s="100"/>
      <c r="AX87" s="122"/>
      <c r="AY87" s="71"/>
      <c r="AZ87" s="71"/>
      <c r="BA87" s="71"/>
      <c r="BB87" s="71"/>
      <c r="BC87" s="71"/>
      <c r="BD87" s="71"/>
      <c r="BE87" s="71"/>
      <c r="BF87" s="71"/>
      <c r="BG87" s="71"/>
      <c r="BH87" s="71"/>
      <c r="BI87" s="71"/>
      <c r="BJ87" s="71"/>
      <c r="BK87" s="71"/>
      <c r="BL87" s="71"/>
      <c r="BM87" s="71"/>
      <c r="BN87" s="105"/>
      <c r="BO87" s="97"/>
      <c r="BP87" s="98"/>
      <c r="BQ87" s="99"/>
      <c r="CI87" s="100"/>
      <c r="DA87" s="101"/>
      <c r="DB87" s="71"/>
      <c r="DC87" s="71"/>
      <c r="DD87" s="71"/>
      <c r="DE87" s="71"/>
      <c r="DF87" s="71"/>
      <c r="DG87" s="71"/>
      <c r="DH87" s="71"/>
      <c r="DI87" s="71"/>
      <c r="DJ87" s="71"/>
      <c r="DK87" s="71"/>
      <c r="DL87" s="71"/>
      <c r="DM87" s="71"/>
      <c r="DN87" s="71"/>
      <c r="DO87" s="71"/>
      <c r="DP87" s="71"/>
      <c r="DQ87" s="105"/>
      <c r="DR87" s="97"/>
      <c r="DS87" s="98"/>
      <c r="DT87" s="99"/>
      <c r="EL87" s="100"/>
      <c r="FD87" s="101"/>
      <c r="FT87" s="97"/>
      <c r="FU87" s="97"/>
      <c r="FV87" s="98"/>
      <c r="FW87" s="99"/>
      <c r="GO87" s="100"/>
      <c r="HG87" s="122"/>
      <c r="HW87" s="97"/>
      <c r="HX87" s="97"/>
      <c r="HY87" s="102"/>
    </row>
    <row r="88" spans="2:233" s="26" customFormat="1">
      <c r="B88" s="99"/>
      <c r="D88" s="104"/>
      <c r="L88" s="104"/>
      <c r="N88" s="99"/>
      <c r="AF88" s="100"/>
      <c r="AX88" s="122"/>
      <c r="AY88" s="71"/>
      <c r="AZ88" s="71"/>
      <c r="BA88" s="71"/>
      <c r="BB88" s="71"/>
      <c r="BC88" s="71"/>
      <c r="BD88" s="71"/>
      <c r="BE88" s="71"/>
      <c r="BF88" s="71"/>
      <c r="BG88" s="71"/>
      <c r="BH88" s="71"/>
      <c r="BI88" s="71"/>
      <c r="BJ88" s="71"/>
      <c r="BK88" s="71"/>
      <c r="BL88" s="71"/>
      <c r="BM88" s="71"/>
      <c r="BN88" s="105"/>
      <c r="BO88" s="97"/>
      <c r="BP88" s="98"/>
      <c r="BQ88" s="99"/>
      <c r="CI88" s="100"/>
      <c r="DA88" s="101"/>
      <c r="DB88" s="71"/>
      <c r="DC88" s="71"/>
      <c r="DD88" s="71"/>
      <c r="DE88" s="71"/>
      <c r="DF88" s="71"/>
      <c r="DG88" s="71"/>
      <c r="DH88" s="71"/>
      <c r="DI88" s="71"/>
      <c r="DJ88" s="71"/>
      <c r="DK88" s="71"/>
      <c r="DL88" s="71"/>
      <c r="DM88" s="71"/>
      <c r="DN88" s="71"/>
      <c r="DO88" s="71"/>
      <c r="DP88" s="71"/>
      <c r="DQ88" s="105"/>
      <c r="DR88" s="97"/>
      <c r="DS88" s="98"/>
      <c r="DT88" s="99"/>
      <c r="EL88" s="100"/>
      <c r="FD88" s="101"/>
      <c r="FT88" s="97"/>
      <c r="FU88" s="97"/>
      <c r="FV88" s="98"/>
      <c r="FW88" s="99"/>
      <c r="GO88" s="100"/>
      <c r="HG88" s="122"/>
      <c r="HW88" s="97"/>
      <c r="HX88" s="97"/>
      <c r="HY88" s="102"/>
    </row>
    <row r="89" spans="2:233" s="26" customFormat="1">
      <c r="B89" s="99"/>
      <c r="D89" s="104"/>
      <c r="L89" s="104"/>
      <c r="N89" s="99"/>
      <c r="AF89" s="100"/>
      <c r="AX89" s="122"/>
      <c r="AY89" s="71"/>
      <c r="AZ89" s="71"/>
      <c r="BA89" s="71"/>
      <c r="BB89" s="71"/>
      <c r="BC89" s="71"/>
      <c r="BD89" s="71"/>
      <c r="BE89" s="71"/>
      <c r="BF89" s="71"/>
      <c r="BG89" s="71"/>
      <c r="BH89" s="71"/>
      <c r="BI89" s="71"/>
      <c r="BJ89" s="71"/>
      <c r="BK89" s="71"/>
      <c r="BL89" s="71"/>
      <c r="BM89" s="71"/>
      <c r="BN89" s="105"/>
      <c r="BO89" s="97"/>
      <c r="BP89" s="98"/>
      <c r="BQ89" s="99"/>
      <c r="CI89" s="100"/>
      <c r="DA89" s="101"/>
      <c r="DB89" s="71"/>
      <c r="DC89" s="71"/>
      <c r="DD89" s="71"/>
      <c r="DE89" s="71"/>
      <c r="DF89" s="71"/>
      <c r="DG89" s="71"/>
      <c r="DH89" s="71"/>
      <c r="DI89" s="71"/>
      <c r="DJ89" s="71"/>
      <c r="DK89" s="71"/>
      <c r="DL89" s="71"/>
      <c r="DM89" s="71"/>
      <c r="DN89" s="71"/>
      <c r="DO89" s="71"/>
      <c r="DP89" s="71"/>
      <c r="DQ89" s="105"/>
      <c r="DR89" s="97"/>
      <c r="DS89" s="98"/>
      <c r="DT89" s="99"/>
      <c r="EL89" s="100"/>
      <c r="FD89" s="101"/>
      <c r="FT89" s="97"/>
      <c r="FU89" s="97"/>
      <c r="FV89" s="98"/>
      <c r="FW89" s="99"/>
      <c r="GO89" s="100"/>
      <c r="HG89" s="122"/>
      <c r="HW89" s="97"/>
      <c r="HX89" s="97"/>
      <c r="HY89" s="102"/>
    </row>
    <row r="90" spans="2:233" s="26" customFormat="1">
      <c r="B90" s="99"/>
      <c r="D90" s="104"/>
      <c r="L90" s="104"/>
      <c r="N90" s="99"/>
      <c r="AF90" s="100"/>
      <c r="AX90" s="122"/>
      <c r="AY90" s="71"/>
      <c r="AZ90" s="71"/>
      <c r="BA90" s="71"/>
      <c r="BB90" s="71"/>
      <c r="BC90" s="71"/>
      <c r="BD90" s="71"/>
      <c r="BE90" s="71"/>
      <c r="BF90" s="71"/>
      <c r="BG90" s="71"/>
      <c r="BH90" s="71"/>
      <c r="BI90" s="71"/>
      <c r="BJ90" s="71"/>
      <c r="BK90" s="71"/>
      <c r="BL90" s="71"/>
      <c r="BM90" s="71"/>
      <c r="BN90" s="105"/>
      <c r="BO90" s="97"/>
      <c r="BP90" s="98"/>
      <c r="BQ90" s="99"/>
      <c r="CI90" s="100"/>
      <c r="DA90" s="101"/>
      <c r="DB90" s="71"/>
      <c r="DC90" s="71"/>
      <c r="DD90" s="71"/>
      <c r="DE90" s="71"/>
      <c r="DF90" s="71"/>
      <c r="DG90" s="71"/>
      <c r="DH90" s="71"/>
      <c r="DI90" s="71"/>
      <c r="DJ90" s="71"/>
      <c r="DK90" s="71"/>
      <c r="DL90" s="71"/>
      <c r="DM90" s="71"/>
      <c r="DN90" s="71"/>
      <c r="DO90" s="71"/>
      <c r="DP90" s="71"/>
      <c r="DQ90" s="105"/>
      <c r="DR90" s="97"/>
      <c r="DS90" s="98"/>
      <c r="DT90" s="99"/>
      <c r="EL90" s="100"/>
      <c r="FD90" s="101"/>
      <c r="FT90" s="97"/>
      <c r="FU90" s="97"/>
      <c r="FV90" s="98"/>
      <c r="FW90" s="99"/>
      <c r="GO90" s="100"/>
      <c r="HG90" s="122"/>
      <c r="HW90" s="97"/>
      <c r="HX90" s="97"/>
      <c r="HY90" s="102"/>
    </row>
    <row r="91" spans="2:233" s="26" customFormat="1">
      <c r="B91" s="99"/>
      <c r="D91" s="104"/>
      <c r="L91" s="104"/>
      <c r="N91" s="99"/>
      <c r="AF91" s="100"/>
      <c r="AX91" s="122"/>
      <c r="AY91" s="71"/>
      <c r="AZ91" s="71"/>
      <c r="BA91" s="71"/>
      <c r="BB91" s="71"/>
      <c r="BC91" s="71"/>
      <c r="BD91" s="71"/>
      <c r="BE91" s="71"/>
      <c r="BF91" s="71"/>
      <c r="BG91" s="71"/>
      <c r="BH91" s="71"/>
      <c r="BI91" s="71"/>
      <c r="BJ91" s="71"/>
      <c r="BK91" s="71"/>
      <c r="BL91" s="71"/>
      <c r="BM91" s="71"/>
      <c r="BN91" s="105"/>
      <c r="BO91" s="97"/>
      <c r="BP91" s="98"/>
      <c r="BQ91" s="99"/>
      <c r="CI91" s="100"/>
      <c r="DA91" s="101"/>
      <c r="DB91" s="71"/>
      <c r="DC91" s="71"/>
      <c r="DD91" s="71"/>
      <c r="DE91" s="71"/>
      <c r="DF91" s="71"/>
      <c r="DG91" s="71"/>
      <c r="DH91" s="71"/>
      <c r="DI91" s="71"/>
      <c r="DJ91" s="71"/>
      <c r="DK91" s="71"/>
      <c r="DL91" s="71"/>
      <c r="DM91" s="71"/>
      <c r="DN91" s="71"/>
      <c r="DO91" s="71"/>
      <c r="DP91" s="71"/>
      <c r="DQ91" s="105"/>
      <c r="DR91" s="97"/>
      <c r="DS91" s="98"/>
      <c r="DT91" s="99"/>
      <c r="EL91" s="100"/>
      <c r="FD91" s="101"/>
      <c r="FT91" s="97"/>
      <c r="FU91" s="97"/>
      <c r="FV91" s="98"/>
      <c r="FW91" s="99"/>
      <c r="GO91" s="100"/>
      <c r="HG91" s="122"/>
      <c r="HW91" s="97"/>
      <c r="HX91" s="97"/>
      <c r="HY91" s="102"/>
    </row>
    <row r="92" spans="2:233" s="26" customFormat="1">
      <c r="B92" s="99"/>
      <c r="D92" s="104"/>
      <c r="L92" s="104"/>
      <c r="N92" s="99"/>
      <c r="AF92" s="100"/>
      <c r="AX92" s="122"/>
      <c r="AY92" s="71"/>
      <c r="AZ92" s="71"/>
      <c r="BA92" s="71"/>
      <c r="BB92" s="71"/>
      <c r="BC92" s="71"/>
      <c r="BD92" s="71"/>
      <c r="BE92" s="71"/>
      <c r="BF92" s="71"/>
      <c r="BG92" s="71"/>
      <c r="BH92" s="71"/>
      <c r="BI92" s="71"/>
      <c r="BJ92" s="71"/>
      <c r="BK92" s="71"/>
      <c r="BL92" s="71"/>
      <c r="BM92" s="71"/>
      <c r="BN92" s="105"/>
      <c r="BO92" s="97"/>
      <c r="BP92" s="98"/>
      <c r="BQ92" s="99"/>
      <c r="CI92" s="100"/>
      <c r="DA92" s="101"/>
      <c r="DB92" s="71"/>
      <c r="DC92" s="71"/>
      <c r="DD92" s="71"/>
      <c r="DE92" s="71"/>
      <c r="DF92" s="71"/>
      <c r="DG92" s="71"/>
      <c r="DH92" s="71"/>
      <c r="DI92" s="71"/>
      <c r="DJ92" s="71"/>
      <c r="DK92" s="71"/>
      <c r="DL92" s="71"/>
      <c r="DM92" s="71"/>
      <c r="DN92" s="71"/>
      <c r="DO92" s="71"/>
      <c r="DP92" s="71"/>
      <c r="DQ92" s="105"/>
      <c r="DR92" s="97"/>
      <c r="DS92" s="98"/>
      <c r="DT92" s="99"/>
      <c r="EL92" s="100"/>
      <c r="FD92" s="101"/>
      <c r="FT92" s="97"/>
      <c r="FU92" s="97"/>
      <c r="FV92" s="98"/>
      <c r="FW92" s="99"/>
      <c r="GO92" s="100"/>
      <c r="HG92" s="122"/>
      <c r="HW92" s="97"/>
      <c r="HX92" s="97"/>
      <c r="HY92" s="102"/>
    </row>
    <row r="93" spans="2:233" s="26" customFormat="1">
      <c r="B93" s="99"/>
      <c r="D93" s="104"/>
      <c r="L93" s="104"/>
      <c r="N93" s="99"/>
      <c r="AF93" s="100"/>
      <c r="AX93" s="122"/>
      <c r="AY93" s="71"/>
      <c r="AZ93" s="71"/>
      <c r="BA93" s="71"/>
      <c r="BB93" s="71"/>
      <c r="BC93" s="71"/>
      <c r="BD93" s="71"/>
      <c r="BE93" s="71"/>
      <c r="BF93" s="71"/>
      <c r="BG93" s="71"/>
      <c r="BH93" s="71"/>
      <c r="BI93" s="71"/>
      <c r="BJ93" s="71"/>
      <c r="BK93" s="71"/>
      <c r="BL93" s="71"/>
      <c r="BM93" s="71"/>
      <c r="BN93" s="105"/>
      <c r="BO93" s="97"/>
      <c r="BP93" s="98"/>
      <c r="BQ93" s="99"/>
      <c r="CI93" s="100"/>
      <c r="DA93" s="101"/>
      <c r="DB93" s="71"/>
      <c r="DC93" s="71"/>
      <c r="DD93" s="71"/>
      <c r="DE93" s="71"/>
      <c r="DF93" s="71"/>
      <c r="DG93" s="71"/>
      <c r="DH93" s="71"/>
      <c r="DI93" s="71"/>
      <c r="DJ93" s="71"/>
      <c r="DK93" s="71"/>
      <c r="DL93" s="71"/>
      <c r="DM93" s="71"/>
      <c r="DN93" s="71"/>
      <c r="DO93" s="71"/>
      <c r="DP93" s="71"/>
      <c r="DQ93" s="105"/>
      <c r="DR93" s="97"/>
      <c r="DS93" s="98"/>
      <c r="DT93" s="99"/>
      <c r="EL93" s="100"/>
      <c r="FD93" s="101"/>
      <c r="FT93" s="97"/>
      <c r="FU93" s="97"/>
      <c r="FV93" s="98"/>
      <c r="FW93" s="99"/>
      <c r="GO93" s="100"/>
      <c r="HG93" s="122"/>
      <c r="HW93" s="97"/>
      <c r="HX93" s="97"/>
      <c r="HY93" s="102"/>
    </row>
    <row r="94" spans="2:233" s="26" customFormat="1">
      <c r="B94" s="99"/>
      <c r="D94" s="104"/>
      <c r="L94" s="104"/>
      <c r="N94" s="99"/>
      <c r="AF94" s="100"/>
      <c r="AX94" s="122"/>
      <c r="AY94" s="71"/>
      <c r="AZ94" s="71"/>
      <c r="BA94" s="71"/>
      <c r="BB94" s="71"/>
      <c r="BC94" s="71"/>
      <c r="BD94" s="71"/>
      <c r="BE94" s="71"/>
      <c r="BF94" s="71"/>
      <c r="BG94" s="71"/>
      <c r="BH94" s="71"/>
      <c r="BI94" s="71"/>
      <c r="BJ94" s="71"/>
      <c r="BK94" s="71"/>
      <c r="BL94" s="71"/>
      <c r="BM94" s="71"/>
      <c r="BN94" s="105"/>
      <c r="BO94" s="97"/>
      <c r="BP94" s="98"/>
      <c r="BQ94" s="99"/>
      <c r="CI94" s="100"/>
      <c r="DA94" s="101"/>
      <c r="DB94" s="71"/>
      <c r="DC94" s="71"/>
      <c r="DD94" s="71"/>
      <c r="DE94" s="71"/>
      <c r="DF94" s="71"/>
      <c r="DG94" s="71"/>
      <c r="DH94" s="71"/>
      <c r="DI94" s="71"/>
      <c r="DJ94" s="71"/>
      <c r="DK94" s="71"/>
      <c r="DL94" s="71"/>
      <c r="DM94" s="71"/>
      <c r="DN94" s="71"/>
      <c r="DO94" s="71"/>
      <c r="DP94" s="71"/>
      <c r="DQ94" s="105"/>
      <c r="DR94" s="97"/>
      <c r="DS94" s="98"/>
      <c r="DT94" s="99"/>
      <c r="EL94" s="100"/>
      <c r="FD94" s="101"/>
      <c r="FT94" s="97"/>
      <c r="FU94" s="97"/>
      <c r="FV94" s="98"/>
      <c r="FW94" s="99"/>
      <c r="GO94" s="100"/>
      <c r="HG94" s="122"/>
      <c r="HW94" s="97"/>
      <c r="HX94" s="97"/>
      <c r="HY94" s="102"/>
    </row>
    <row r="95" spans="2:233" s="26" customFormat="1">
      <c r="B95" s="99"/>
      <c r="D95" s="104"/>
      <c r="L95" s="104"/>
      <c r="N95" s="99"/>
      <c r="AF95" s="100"/>
      <c r="AX95" s="122"/>
      <c r="AY95" s="71"/>
      <c r="AZ95" s="71"/>
      <c r="BA95" s="71"/>
      <c r="BB95" s="71"/>
      <c r="BC95" s="71"/>
      <c r="BD95" s="71"/>
      <c r="BE95" s="71"/>
      <c r="BF95" s="71"/>
      <c r="BG95" s="71"/>
      <c r="BH95" s="71"/>
      <c r="BI95" s="71"/>
      <c r="BJ95" s="71"/>
      <c r="BK95" s="71"/>
      <c r="BL95" s="71"/>
      <c r="BM95" s="71"/>
      <c r="BN95" s="105"/>
      <c r="BO95" s="97"/>
      <c r="BP95" s="98"/>
      <c r="BQ95" s="99"/>
      <c r="CI95" s="100"/>
      <c r="DA95" s="101"/>
      <c r="DB95" s="71"/>
      <c r="DC95" s="71"/>
      <c r="DD95" s="71"/>
      <c r="DE95" s="71"/>
      <c r="DF95" s="71"/>
      <c r="DG95" s="71"/>
      <c r="DH95" s="71"/>
      <c r="DI95" s="71"/>
      <c r="DJ95" s="71"/>
      <c r="DK95" s="71"/>
      <c r="DL95" s="71"/>
      <c r="DM95" s="71"/>
      <c r="DN95" s="71"/>
      <c r="DO95" s="71"/>
      <c r="DP95" s="71"/>
      <c r="DQ95" s="105"/>
      <c r="DR95" s="97"/>
      <c r="DS95" s="98"/>
      <c r="DT95" s="99"/>
      <c r="EL95" s="100"/>
      <c r="FD95" s="101"/>
      <c r="FT95" s="97"/>
      <c r="FU95" s="97"/>
      <c r="FV95" s="98"/>
      <c r="FW95" s="99"/>
      <c r="GO95" s="100"/>
      <c r="HG95" s="122"/>
      <c r="HW95" s="97"/>
      <c r="HX95" s="97"/>
      <c r="HY95" s="102"/>
    </row>
    <row r="96" spans="2:233" s="26" customFormat="1">
      <c r="B96" s="99"/>
      <c r="D96" s="104"/>
      <c r="L96" s="104"/>
      <c r="N96" s="99"/>
      <c r="AF96" s="100"/>
      <c r="AX96" s="122"/>
      <c r="AY96" s="71"/>
      <c r="AZ96" s="71"/>
      <c r="BA96" s="71"/>
      <c r="BB96" s="71"/>
      <c r="BC96" s="71"/>
      <c r="BD96" s="71"/>
      <c r="BE96" s="71"/>
      <c r="BF96" s="71"/>
      <c r="BG96" s="71"/>
      <c r="BH96" s="71"/>
      <c r="BI96" s="71"/>
      <c r="BJ96" s="71"/>
      <c r="BK96" s="71"/>
      <c r="BL96" s="71"/>
      <c r="BM96" s="71"/>
      <c r="BN96" s="105"/>
      <c r="BO96" s="97"/>
      <c r="BP96" s="98"/>
      <c r="BQ96" s="99"/>
      <c r="CI96" s="100"/>
      <c r="DA96" s="101"/>
      <c r="DB96" s="71"/>
      <c r="DC96" s="71"/>
      <c r="DD96" s="71"/>
      <c r="DE96" s="71"/>
      <c r="DF96" s="71"/>
      <c r="DG96" s="71"/>
      <c r="DH96" s="71"/>
      <c r="DI96" s="71"/>
      <c r="DJ96" s="71"/>
      <c r="DK96" s="71"/>
      <c r="DL96" s="71"/>
      <c r="DM96" s="71"/>
      <c r="DN96" s="71"/>
      <c r="DO96" s="71"/>
      <c r="DP96" s="71"/>
      <c r="DQ96" s="105"/>
      <c r="DR96" s="97"/>
      <c r="DS96" s="98"/>
      <c r="DT96" s="99"/>
      <c r="EL96" s="100"/>
      <c r="FD96" s="101"/>
      <c r="FT96" s="97"/>
      <c r="FU96" s="97"/>
      <c r="FV96" s="98"/>
      <c r="FW96" s="99"/>
      <c r="GO96" s="100"/>
      <c r="HG96" s="122"/>
      <c r="HW96" s="97"/>
      <c r="HX96" s="97"/>
      <c r="HY96" s="102"/>
    </row>
    <row r="97" spans="2:233" s="26" customFormat="1">
      <c r="B97" s="99"/>
      <c r="D97" s="104"/>
      <c r="L97" s="104"/>
      <c r="N97" s="99"/>
      <c r="AF97" s="100"/>
      <c r="AX97" s="122"/>
      <c r="AY97" s="71"/>
      <c r="AZ97" s="71"/>
      <c r="BA97" s="71"/>
      <c r="BB97" s="71"/>
      <c r="BC97" s="71"/>
      <c r="BD97" s="71"/>
      <c r="BE97" s="71"/>
      <c r="BF97" s="71"/>
      <c r="BG97" s="71"/>
      <c r="BH97" s="71"/>
      <c r="BI97" s="71"/>
      <c r="BJ97" s="71"/>
      <c r="BK97" s="71"/>
      <c r="BL97" s="71"/>
      <c r="BM97" s="71"/>
      <c r="BN97" s="105"/>
      <c r="BO97" s="97"/>
      <c r="BP97" s="98"/>
      <c r="BQ97" s="99"/>
      <c r="CI97" s="100"/>
      <c r="DA97" s="101"/>
      <c r="DB97" s="71"/>
      <c r="DC97" s="71"/>
      <c r="DD97" s="71"/>
      <c r="DE97" s="71"/>
      <c r="DF97" s="71"/>
      <c r="DG97" s="71"/>
      <c r="DH97" s="71"/>
      <c r="DI97" s="71"/>
      <c r="DJ97" s="71"/>
      <c r="DK97" s="71"/>
      <c r="DL97" s="71"/>
      <c r="DM97" s="71"/>
      <c r="DN97" s="71"/>
      <c r="DO97" s="71"/>
      <c r="DP97" s="71"/>
      <c r="DQ97" s="105"/>
      <c r="DR97" s="97"/>
      <c r="DS97" s="98"/>
      <c r="DT97" s="99"/>
      <c r="EL97" s="100"/>
      <c r="FD97" s="101"/>
      <c r="FT97" s="97"/>
      <c r="FU97" s="97"/>
      <c r="FV97" s="98"/>
      <c r="FW97" s="99"/>
      <c r="GO97" s="100"/>
      <c r="HG97" s="122"/>
      <c r="HW97" s="97"/>
      <c r="HX97" s="97"/>
      <c r="HY97" s="102"/>
    </row>
    <row r="98" spans="2:233" s="26" customFormat="1">
      <c r="B98" s="99"/>
      <c r="D98" s="104"/>
      <c r="L98" s="104"/>
      <c r="N98" s="99"/>
      <c r="AF98" s="100"/>
      <c r="AX98" s="122"/>
      <c r="AY98" s="71"/>
      <c r="AZ98" s="71"/>
      <c r="BA98" s="71"/>
      <c r="BB98" s="71"/>
      <c r="BC98" s="71"/>
      <c r="BD98" s="71"/>
      <c r="BE98" s="71"/>
      <c r="BF98" s="71"/>
      <c r="BG98" s="71"/>
      <c r="BH98" s="71"/>
      <c r="BI98" s="71"/>
      <c r="BJ98" s="71"/>
      <c r="BK98" s="71"/>
      <c r="BL98" s="71"/>
      <c r="BM98" s="71"/>
      <c r="BN98" s="105"/>
      <c r="BO98" s="97"/>
      <c r="BP98" s="98"/>
      <c r="BQ98" s="99"/>
      <c r="CI98" s="100"/>
      <c r="DA98" s="101"/>
      <c r="DB98" s="71"/>
      <c r="DC98" s="71"/>
      <c r="DD98" s="71"/>
      <c r="DE98" s="71"/>
      <c r="DF98" s="71"/>
      <c r="DG98" s="71"/>
      <c r="DH98" s="71"/>
      <c r="DI98" s="71"/>
      <c r="DJ98" s="71"/>
      <c r="DK98" s="71"/>
      <c r="DL98" s="71"/>
      <c r="DM98" s="71"/>
      <c r="DN98" s="71"/>
      <c r="DO98" s="71"/>
      <c r="DP98" s="71"/>
      <c r="DQ98" s="105"/>
      <c r="DR98" s="97"/>
      <c r="DS98" s="98"/>
      <c r="DT98" s="99"/>
      <c r="EL98" s="100"/>
      <c r="FD98" s="101"/>
      <c r="FT98" s="97"/>
      <c r="FU98" s="97"/>
      <c r="FV98" s="98"/>
      <c r="FW98" s="99"/>
      <c r="GO98" s="100"/>
      <c r="HG98" s="122"/>
      <c r="HW98" s="97"/>
      <c r="HX98" s="97"/>
      <c r="HY98" s="102"/>
    </row>
    <row r="99" spans="2:233" s="26" customFormat="1">
      <c r="B99" s="99"/>
      <c r="D99" s="104"/>
      <c r="L99" s="104"/>
      <c r="N99" s="99"/>
      <c r="AF99" s="100"/>
      <c r="AX99" s="122"/>
      <c r="AY99" s="71"/>
      <c r="AZ99" s="71"/>
      <c r="BA99" s="71"/>
      <c r="BB99" s="71"/>
      <c r="BC99" s="71"/>
      <c r="BD99" s="71"/>
      <c r="BE99" s="71"/>
      <c r="BF99" s="71"/>
      <c r="BG99" s="71"/>
      <c r="BH99" s="71"/>
      <c r="BI99" s="71"/>
      <c r="BJ99" s="71"/>
      <c r="BK99" s="71"/>
      <c r="BL99" s="71"/>
      <c r="BM99" s="71"/>
      <c r="BN99" s="105"/>
      <c r="BO99" s="97"/>
      <c r="BP99" s="98"/>
      <c r="BQ99" s="99"/>
      <c r="CI99" s="100"/>
      <c r="DA99" s="101"/>
      <c r="DB99" s="71"/>
      <c r="DC99" s="71"/>
      <c r="DD99" s="71"/>
      <c r="DE99" s="71"/>
      <c r="DF99" s="71"/>
      <c r="DG99" s="71"/>
      <c r="DH99" s="71"/>
      <c r="DI99" s="71"/>
      <c r="DJ99" s="71"/>
      <c r="DK99" s="71"/>
      <c r="DL99" s="71"/>
      <c r="DM99" s="71"/>
      <c r="DN99" s="71"/>
      <c r="DO99" s="71"/>
      <c r="DP99" s="71"/>
      <c r="DQ99" s="105"/>
      <c r="DR99" s="97"/>
      <c r="DS99" s="98"/>
      <c r="DT99" s="99"/>
      <c r="EL99" s="100"/>
      <c r="FD99" s="101"/>
      <c r="FT99" s="97"/>
      <c r="FU99" s="97"/>
      <c r="FV99" s="98"/>
      <c r="FW99" s="99"/>
      <c r="GO99" s="100"/>
      <c r="HG99" s="122"/>
      <c r="HW99" s="97"/>
      <c r="HX99" s="97"/>
      <c r="HY99" s="102"/>
    </row>
    <row r="100" spans="2:233" s="26" customFormat="1">
      <c r="B100" s="99"/>
      <c r="D100" s="104"/>
      <c r="L100" s="104"/>
      <c r="N100" s="99"/>
      <c r="AF100" s="100"/>
      <c r="AX100" s="122"/>
      <c r="AY100" s="71"/>
      <c r="AZ100" s="71"/>
      <c r="BA100" s="71"/>
      <c r="BB100" s="71"/>
      <c r="BC100" s="71"/>
      <c r="BD100" s="71"/>
      <c r="BE100" s="71"/>
      <c r="BF100" s="71"/>
      <c r="BG100" s="71"/>
      <c r="BH100" s="71"/>
      <c r="BI100" s="71"/>
      <c r="BJ100" s="71"/>
      <c r="BK100" s="71"/>
      <c r="BL100" s="71"/>
      <c r="BM100" s="71"/>
      <c r="BN100" s="105"/>
      <c r="BO100" s="97"/>
      <c r="BP100" s="98"/>
      <c r="BQ100" s="99"/>
      <c r="CI100" s="100"/>
      <c r="DA100" s="101"/>
      <c r="DB100" s="71"/>
      <c r="DC100" s="71"/>
      <c r="DD100" s="71"/>
      <c r="DE100" s="71"/>
      <c r="DF100" s="71"/>
      <c r="DG100" s="71"/>
      <c r="DH100" s="71"/>
      <c r="DI100" s="71"/>
      <c r="DJ100" s="71"/>
      <c r="DK100" s="71"/>
      <c r="DL100" s="71"/>
      <c r="DM100" s="71"/>
      <c r="DN100" s="71"/>
      <c r="DO100" s="71"/>
      <c r="DP100" s="71"/>
      <c r="DQ100" s="105"/>
      <c r="DR100" s="97"/>
      <c r="DS100" s="98"/>
      <c r="DT100" s="99"/>
      <c r="EL100" s="100"/>
      <c r="FD100" s="101"/>
      <c r="FT100" s="97"/>
      <c r="FU100" s="97"/>
      <c r="FV100" s="98"/>
      <c r="FW100" s="99"/>
      <c r="GO100" s="100"/>
      <c r="HG100" s="122"/>
      <c r="HW100" s="97"/>
      <c r="HX100" s="97"/>
      <c r="HY100" s="102"/>
    </row>
    <row r="101" spans="2:233" s="26" customFormat="1">
      <c r="B101" s="99"/>
      <c r="D101" s="104"/>
      <c r="L101" s="104"/>
      <c r="N101" s="99"/>
      <c r="AF101" s="100"/>
      <c r="AX101" s="122"/>
      <c r="AY101" s="71"/>
      <c r="AZ101" s="71"/>
      <c r="BA101" s="71"/>
      <c r="BB101" s="71"/>
      <c r="BC101" s="71"/>
      <c r="BD101" s="71"/>
      <c r="BE101" s="71"/>
      <c r="BF101" s="71"/>
      <c r="BG101" s="71"/>
      <c r="BH101" s="71"/>
      <c r="BI101" s="71"/>
      <c r="BJ101" s="71"/>
      <c r="BK101" s="71"/>
      <c r="BL101" s="71"/>
      <c r="BM101" s="71"/>
      <c r="BN101" s="105"/>
      <c r="BO101" s="97"/>
      <c r="BP101" s="98"/>
      <c r="BQ101" s="99"/>
      <c r="CI101" s="100"/>
      <c r="DA101" s="101"/>
      <c r="DB101" s="71"/>
      <c r="DC101" s="71"/>
      <c r="DD101" s="71"/>
      <c r="DE101" s="71"/>
      <c r="DF101" s="71"/>
      <c r="DG101" s="71"/>
      <c r="DH101" s="71"/>
      <c r="DI101" s="71"/>
      <c r="DJ101" s="71"/>
      <c r="DK101" s="71"/>
      <c r="DL101" s="71"/>
      <c r="DM101" s="71"/>
      <c r="DN101" s="71"/>
      <c r="DO101" s="71"/>
      <c r="DP101" s="71"/>
      <c r="DQ101" s="105"/>
      <c r="DR101" s="97"/>
      <c r="DS101" s="98"/>
      <c r="DT101" s="99"/>
      <c r="EL101" s="100"/>
      <c r="FD101" s="101"/>
      <c r="FT101" s="97"/>
      <c r="FU101" s="97"/>
      <c r="FV101" s="98"/>
      <c r="FW101" s="99"/>
      <c r="GO101" s="100"/>
      <c r="HG101" s="122"/>
      <c r="HW101" s="97"/>
      <c r="HX101" s="97"/>
      <c r="HY101" s="102"/>
    </row>
    <row r="102" spans="2:233" s="26" customFormat="1">
      <c r="B102" s="99"/>
      <c r="D102" s="104"/>
      <c r="L102" s="104"/>
      <c r="N102" s="99"/>
      <c r="AF102" s="100"/>
      <c r="AX102" s="122"/>
      <c r="AY102" s="71"/>
      <c r="AZ102" s="71"/>
      <c r="BA102" s="71"/>
      <c r="BB102" s="71"/>
      <c r="BC102" s="71"/>
      <c r="BD102" s="71"/>
      <c r="BE102" s="71"/>
      <c r="BF102" s="71"/>
      <c r="BG102" s="71"/>
      <c r="BH102" s="71"/>
      <c r="BI102" s="71"/>
      <c r="BJ102" s="71"/>
      <c r="BK102" s="71"/>
      <c r="BL102" s="71"/>
      <c r="BM102" s="71"/>
      <c r="BN102" s="105"/>
      <c r="BO102" s="97"/>
      <c r="BP102" s="98"/>
      <c r="BQ102" s="99"/>
      <c r="CI102" s="100"/>
      <c r="DA102" s="101"/>
      <c r="DB102" s="71"/>
      <c r="DC102" s="71"/>
      <c r="DD102" s="71"/>
      <c r="DE102" s="71"/>
      <c r="DF102" s="71"/>
      <c r="DG102" s="71"/>
      <c r="DH102" s="71"/>
      <c r="DI102" s="71"/>
      <c r="DJ102" s="71"/>
      <c r="DK102" s="71"/>
      <c r="DL102" s="71"/>
      <c r="DM102" s="71"/>
      <c r="DN102" s="71"/>
      <c r="DO102" s="71"/>
      <c r="DP102" s="71"/>
      <c r="DQ102" s="105"/>
      <c r="DR102" s="97"/>
      <c r="DS102" s="98"/>
      <c r="DT102" s="99"/>
      <c r="EL102" s="100"/>
      <c r="FD102" s="101"/>
      <c r="FT102" s="97"/>
      <c r="FU102" s="97"/>
      <c r="FV102" s="98"/>
      <c r="FW102" s="99"/>
      <c r="GO102" s="100"/>
      <c r="HG102" s="122"/>
      <c r="HW102" s="97"/>
      <c r="HX102" s="97"/>
      <c r="HY102" s="102"/>
    </row>
    <row r="103" spans="2:233" s="26" customFormat="1">
      <c r="B103" s="99"/>
      <c r="D103" s="104"/>
      <c r="L103" s="104"/>
      <c r="N103" s="99"/>
      <c r="AF103" s="100"/>
      <c r="AX103" s="122"/>
      <c r="AY103" s="71"/>
      <c r="AZ103" s="71"/>
      <c r="BA103" s="71"/>
      <c r="BB103" s="71"/>
      <c r="BC103" s="71"/>
      <c r="BD103" s="71"/>
      <c r="BE103" s="71"/>
      <c r="BF103" s="71"/>
      <c r="BG103" s="71"/>
      <c r="BH103" s="71"/>
      <c r="BI103" s="71"/>
      <c r="BJ103" s="71"/>
      <c r="BK103" s="71"/>
      <c r="BL103" s="71"/>
      <c r="BM103" s="71"/>
      <c r="BN103" s="105"/>
      <c r="BO103" s="97"/>
      <c r="BP103" s="98"/>
      <c r="BQ103" s="99"/>
      <c r="CI103" s="100"/>
      <c r="DA103" s="101"/>
      <c r="DB103" s="71"/>
      <c r="DC103" s="71"/>
      <c r="DD103" s="71"/>
      <c r="DE103" s="71"/>
      <c r="DF103" s="71"/>
      <c r="DG103" s="71"/>
      <c r="DH103" s="71"/>
      <c r="DI103" s="71"/>
      <c r="DJ103" s="71"/>
      <c r="DK103" s="71"/>
      <c r="DL103" s="71"/>
      <c r="DM103" s="71"/>
      <c r="DN103" s="71"/>
      <c r="DO103" s="71"/>
      <c r="DP103" s="71"/>
      <c r="DQ103" s="105"/>
      <c r="DR103" s="97"/>
      <c r="DS103" s="98"/>
      <c r="DT103" s="99"/>
      <c r="EL103" s="100"/>
      <c r="FD103" s="101"/>
      <c r="FT103" s="97"/>
      <c r="FU103" s="97"/>
      <c r="FV103" s="98"/>
      <c r="FW103" s="99"/>
      <c r="GO103" s="100"/>
      <c r="HG103" s="122"/>
      <c r="HW103" s="97"/>
      <c r="HX103" s="97"/>
      <c r="HY103" s="102"/>
    </row>
    <row r="104" spans="2:233" s="26" customFormat="1">
      <c r="B104" s="99"/>
      <c r="D104" s="104"/>
      <c r="L104" s="104"/>
      <c r="N104" s="99"/>
      <c r="AF104" s="100"/>
      <c r="AX104" s="122"/>
      <c r="AY104" s="71"/>
      <c r="AZ104" s="71"/>
      <c r="BA104" s="71"/>
      <c r="BB104" s="71"/>
      <c r="BC104" s="71"/>
      <c r="BD104" s="71"/>
      <c r="BE104" s="71"/>
      <c r="BF104" s="71"/>
      <c r="BG104" s="71"/>
      <c r="BH104" s="71"/>
      <c r="BI104" s="71"/>
      <c r="BJ104" s="71"/>
      <c r="BK104" s="71"/>
      <c r="BL104" s="71"/>
      <c r="BM104" s="71"/>
      <c r="BN104" s="105"/>
      <c r="BO104" s="97"/>
      <c r="BP104" s="98"/>
      <c r="BQ104" s="99"/>
      <c r="CI104" s="100"/>
      <c r="DA104" s="101"/>
      <c r="DB104" s="71"/>
      <c r="DC104" s="71"/>
      <c r="DD104" s="71"/>
      <c r="DE104" s="71"/>
      <c r="DF104" s="71"/>
      <c r="DG104" s="71"/>
      <c r="DH104" s="71"/>
      <c r="DI104" s="71"/>
      <c r="DJ104" s="71"/>
      <c r="DK104" s="71"/>
      <c r="DL104" s="71"/>
      <c r="DM104" s="71"/>
      <c r="DN104" s="71"/>
      <c r="DO104" s="71"/>
      <c r="DP104" s="71"/>
      <c r="DQ104" s="105"/>
      <c r="DR104" s="97"/>
      <c r="DS104" s="98"/>
      <c r="DT104" s="99"/>
      <c r="EL104" s="100"/>
      <c r="FD104" s="101"/>
      <c r="FT104" s="97"/>
      <c r="FU104" s="97"/>
      <c r="FV104" s="98"/>
      <c r="FW104" s="99"/>
      <c r="GO104" s="100"/>
      <c r="HG104" s="122"/>
      <c r="HW104" s="97"/>
      <c r="HX104" s="97"/>
      <c r="HY104" s="102"/>
    </row>
    <row r="105" spans="2:233" s="26" customFormat="1">
      <c r="B105" s="99"/>
      <c r="D105" s="104"/>
      <c r="L105" s="104"/>
      <c r="N105" s="99"/>
      <c r="AF105" s="100"/>
      <c r="AX105" s="122"/>
      <c r="AY105" s="71"/>
      <c r="AZ105" s="71"/>
      <c r="BA105" s="71"/>
      <c r="BB105" s="71"/>
      <c r="BC105" s="71"/>
      <c r="BD105" s="71"/>
      <c r="BE105" s="71"/>
      <c r="BF105" s="71"/>
      <c r="BG105" s="71"/>
      <c r="BH105" s="71"/>
      <c r="BI105" s="71"/>
      <c r="BJ105" s="71"/>
      <c r="BK105" s="71"/>
      <c r="BL105" s="71"/>
      <c r="BM105" s="71"/>
      <c r="BN105" s="105"/>
      <c r="BO105" s="97"/>
      <c r="BP105" s="98"/>
      <c r="BQ105" s="99"/>
      <c r="CI105" s="100"/>
      <c r="DA105" s="101"/>
      <c r="DB105" s="71"/>
      <c r="DC105" s="71"/>
      <c r="DD105" s="71"/>
      <c r="DE105" s="71"/>
      <c r="DF105" s="71"/>
      <c r="DG105" s="71"/>
      <c r="DH105" s="71"/>
      <c r="DI105" s="71"/>
      <c r="DJ105" s="71"/>
      <c r="DK105" s="71"/>
      <c r="DL105" s="71"/>
      <c r="DM105" s="71"/>
      <c r="DN105" s="71"/>
      <c r="DO105" s="71"/>
      <c r="DP105" s="71"/>
      <c r="DQ105" s="105"/>
      <c r="DR105" s="97"/>
      <c r="DS105" s="98"/>
      <c r="DT105" s="99"/>
      <c r="EL105" s="100"/>
      <c r="FD105" s="101"/>
      <c r="FT105" s="97"/>
      <c r="FU105" s="97"/>
      <c r="FV105" s="98"/>
      <c r="FW105" s="99"/>
      <c r="GO105" s="100"/>
      <c r="HG105" s="122"/>
      <c r="HW105" s="97"/>
      <c r="HX105" s="97"/>
      <c r="HY105" s="102"/>
    </row>
    <row r="106" spans="2:233" s="26" customFormat="1">
      <c r="B106" s="99"/>
      <c r="D106" s="104"/>
      <c r="L106" s="104"/>
      <c r="N106" s="99"/>
      <c r="AF106" s="100"/>
      <c r="AX106" s="122"/>
      <c r="AY106" s="71"/>
      <c r="AZ106" s="71"/>
      <c r="BA106" s="71"/>
      <c r="BB106" s="71"/>
      <c r="BC106" s="71"/>
      <c r="BD106" s="71"/>
      <c r="BE106" s="71"/>
      <c r="BF106" s="71"/>
      <c r="BG106" s="71"/>
      <c r="BH106" s="71"/>
      <c r="BI106" s="71"/>
      <c r="BJ106" s="71"/>
      <c r="BK106" s="71"/>
      <c r="BL106" s="71"/>
      <c r="BM106" s="71"/>
      <c r="BN106" s="105"/>
      <c r="BO106" s="97"/>
      <c r="BP106" s="98"/>
      <c r="BQ106" s="99"/>
      <c r="CI106" s="100"/>
      <c r="DA106" s="101"/>
      <c r="DB106" s="71"/>
      <c r="DC106" s="71"/>
      <c r="DD106" s="71"/>
      <c r="DE106" s="71"/>
      <c r="DF106" s="71"/>
      <c r="DG106" s="71"/>
      <c r="DH106" s="71"/>
      <c r="DI106" s="71"/>
      <c r="DJ106" s="71"/>
      <c r="DK106" s="71"/>
      <c r="DL106" s="71"/>
      <c r="DM106" s="71"/>
      <c r="DN106" s="71"/>
      <c r="DO106" s="71"/>
      <c r="DP106" s="71"/>
      <c r="DQ106" s="105"/>
      <c r="DR106" s="97"/>
      <c r="DS106" s="98"/>
      <c r="DT106" s="99"/>
      <c r="EL106" s="100"/>
      <c r="FD106" s="101"/>
      <c r="FT106" s="97"/>
      <c r="FU106" s="97"/>
      <c r="FV106" s="98"/>
      <c r="FW106" s="99"/>
      <c r="GO106" s="100"/>
      <c r="HG106" s="122"/>
      <c r="HW106" s="97"/>
      <c r="HX106" s="97"/>
      <c r="HY106" s="10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7A56-0848-48DE-86DD-7B25AA38EB2C}">
  <dimension ref="A1:HX76"/>
  <sheetViews>
    <sheetView workbookViewId="0">
      <selection activeCell="K9" sqref="K9"/>
    </sheetView>
  </sheetViews>
  <sheetFormatPr defaultColWidth="9" defaultRowHeight="15.75" outlineLevelCol="1"/>
  <cols>
    <col min="1" max="1" width="18.875" customWidth="1"/>
    <col min="2" max="2" width="10.875" style="3" customWidth="1"/>
    <col min="3" max="3" width="28.625" customWidth="1"/>
    <col min="4" max="4" width="10" style="21" customWidth="1"/>
    <col min="5" max="5" width="13" customWidth="1"/>
    <col min="6" max="6" width="4" customWidth="1"/>
    <col min="7" max="7" width="7.125" customWidth="1"/>
    <col min="8" max="8" width="8.375" bestFit="1" customWidth="1"/>
    <col min="9" max="9" width="10.875" bestFit="1" customWidth="1"/>
    <col min="10" max="10" width="12" bestFit="1" customWidth="1"/>
    <col min="11" max="11" width="22.75" customWidth="1"/>
    <col min="12" max="12" width="28.5" style="21" customWidth="1"/>
    <col min="13" max="13" width="15.125" customWidth="1"/>
    <col min="14" max="14" width="11.25" style="3" customWidth="1"/>
    <col min="15" max="15" width="7.625" customWidth="1" outlineLevel="1"/>
    <col min="16" max="16" width="14.5" customWidth="1" outlineLevel="1"/>
    <col min="17" max="17" width="15.375" customWidth="1" outlineLevel="1"/>
    <col min="18" max="18" width="26.125" customWidth="1" outlineLevel="1"/>
    <col min="19" max="19" width="32.875" customWidth="1" outlineLevel="1"/>
    <col min="20" max="20" width="4.75" customWidth="1"/>
    <col min="21" max="29" width="11.125" hidden="1" customWidth="1" outlineLevel="1"/>
    <col min="30" max="31" width="12.125" hidden="1" customWidth="1" outlineLevel="1"/>
    <col min="32" max="32" width="15" style="13" customWidth="1" collapsed="1"/>
    <col min="33" max="41" width="11" hidden="1" customWidth="1" outlineLevel="1"/>
    <col min="42" max="49" width="12" hidden="1" customWidth="1" outlineLevel="1"/>
    <col min="50" max="50" width="14.875" style="9" bestFit="1" customWidth="1" collapsed="1"/>
    <col min="51" max="51" width="14.75" style="6" hidden="1" customWidth="1" outlineLevel="1"/>
    <col min="52" max="52" width="15.875" style="6" hidden="1" customWidth="1" outlineLevel="1"/>
    <col min="53" max="53" width="14.25" style="6" hidden="1" customWidth="1" outlineLevel="1"/>
    <col min="54" max="54" width="14.75" style="6" hidden="1" customWidth="1" outlineLevel="1"/>
    <col min="55" max="55" width="13.875" style="6" hidden="1" customWidth="1" outlineLevel="1"/>
    <col min="56" max="56" width="15" style="6" hidden="1" customWidth="1" outlineLevel="1"/>
    <col min="57" max="57" width="13.375" style="6" hidden="1" customWidth="1" outlineLevel="1"/>
    <col min="58" max="58" width="13.875" style="6" hidden="1" customWidth="1" outlineLevel="1"/>
    <col min="59" max="59" width="13.625" style="6" hidden="1" customWidth="1" outlineLevel="1"/>
    <col min="60" max="60" width="14.75" style="6" hidden="1" customWidth="1" outlineLevel="1"/>
    <col min="61" max="61" width="13.125" style="6" hidden="1" customWidth="1" outlineLevel="1"/>
    <col min="62" max="62" width="13.625" style="6" hidden="1" customWidth="1" outlineLevel="1"/>
    <col min="63" max="63" width="15.375" style="6" hidden="1" customWidth="1" outlineLevel="1"/>
    <col min="64" max="64" width="13.75" style="6" hidden="1" customWidth="1" outlineLevel="1"/>
    <col min="65" max="65" width="14.25" style="6" hidden="1" customWidth="1" outlineLevel="1"/>
    <col min="66" max="66" width="12.75" style="14" customWidth="1" collapsed="1"/>
    <col min="67" max="67" width="32.25" style="16" customWidth="1"/>
    <col min="68" max="68" width="38.5" style="19" customWidth="1"/>
    <col min="69" max="69" width="10" customWidth="1"/>
    <col min="70" max="70" width="8" bestFit="1" customWidth="1"/>
    <col min="71" max="71" width="14.5" customWidth="1"/>
    <col min="72" max="72" width="15.375" customWidth="1"/>
    <col min="73" max="73" width="13.375" customWidth="1"/>
    <col min="74" max="74" width="25.25" customWidth="1"/>
    <col min="75" max="83" width="11.125" bestFit="1" customWidth="1"/>
    <col min="84" max="85" width="12.125" bestFit="1" customWidth="1"/>
    <col min="86" max="86" width="15" customWidth="1"/>
    <col min="87" max="95" width="11" bestFit="1" customWidth="1"/>
    <col min="96" max="103" width="12" bestFit="1" customWidth="1"/>
    <col min="104" max="104" width="14.875" bestFit="1" customWidth="1"/>
    <col min="105" max="105" width="14.75" style="6" customWidth="1"/>
    <col min="106" max="106" width="15.875" style="6" customWidth="1"/>
    <col min="107" max="107" width="14.25" style="6" customWidth="1"/>
    <col min="108" max="108" width="14.75" style="6" customWidth="1"/>
    <col min="109" max="109" width="13.875" style="6" customWidth="1"/>
    <col min="110" max="110" width="15" style="6" customWidth="1"/>
    <col min="111" max="111" width="13.375" style="6" customWidth="1"/>
    <col min="112" max="112" width="13.875" style="6" customWidth="1"/>
    <col min="113" max="113" width="13.625" style="6" customWidth="1"/>
    <col min="114" max="114" width="14.75" style="6" customWidth="1"/>
    <col min="115" max="115" width="13.125" style="6" customWidth="1"/>
    <col min="116" max="116" width="13.625" style="6" customWidth="1"/>
    <col min="117" max="117" width="15.375" style="6" customWidth="1"/>
    <col min="118" max="118" width="13.75" style="6" customWidth="1"/>
    <col min="119" max="119" width="14.25" style="6" customWidth="1"/>
    <col min="120" max="120" width="12.75" style="6" customWidth="1"/>
    <col min="121" max="121" width="19.875" customWidth="1"/>
    <col min="122" max="122" width="34.875" customWidth="1"/>
    <col min="123" max="123" width="10" customWidth="1"/>
    <col min="124" max="124" width="7.625" bestFit="1" customWidth="1"/>
    <col min="125" max="125" width="14.5" bestFit="1" customWidth="1"/>
    <col min="126" max="126" width="15.375" bestFit="1" customWidth="1"/>
    <col min="127" max="127" width="13.375" bestFit="1" customWidth="1"/>
    <col min="128" max="128" width="25.875" customWidth="1"/>
    <col min="129" max="137" width="11.125" bestFit="1" customWidth="1"/>
    <col min="138" max="139" width="12.125" bestFit="1" customWidth="1"/>
    <col min="140" max="140" width="15" bestFit="1" customWidth="1"/>
    <col min="141" max="149" width="11" bestFit="1" customWidth="1"/>
    <col min="150" max="157" width="12" bestFit="1" customWidth="1"/>
    <col min="158" max="158" width="14.875" bestFit="1" customWidth="1"/>
    <col min="159" max="159" width="14.75" customWidth="1"/>
    <col min="160" max="160" width="15.875" customWidth="1"/>
    <col min="161" max="161" width="14.25" customWidth="1"/>
    <col min="162" max="162" width="14.75" customWidth="1"/>
    <col min="163" max="163" width="13.875" customWidth="1"/>
    <col min="164" max="164" width="15" customWidth="1"/>
    <col min="165" max="165" width="13.375" customWidth="1"/>
    <col min="166" max="166" width="13.875" customWidth="1"/>
    <col min="167" max="167" width="13.625" customWidth="1"/>
    <col min="168" max="168" width="14.75" customWidth="1"/>
    <col min="169" max="169" width="13.125" customWidth="1"/>
    <col min="170" max="170" width="13.625" customWidth="1"/>
    <col min="171" max="171" width="15.375" customWidth="1"/>
    <col min="172" max="172" width="13.75" customWidth="1"/>
    <col min="173" max="173" width="14.25" customWidth="1"/>
    <col min="174" max="174" width="12.75" customWidth="1"/>
    <col min="175" max="175" width="11.625" customWidth="1"/>
    <col min="176" max="176" width="29.75" customWidth="1"/>
    <col min="177" max="177" width="10" bestFit="1" customWidth="1"/>
    <col min="178" max="178" width="7.625" bestFit="1" customWidth="1"/>
    <col min="179" max="179" width="14.5" bestFit="1" customWidth="1"/>
    <col min="180" max="180" width="15.375" bestFit="1" customWidth="1"/>
    <col min="181" max="181" width="13.375" bestFit="1" customWidth="1"/>
    <col min="182" max="182" width="22" customWidth="1"/>
    <col min="183" max="191" width="11.125" bestFit="1" customWidth="1"/>
    <col min="192" max="193" width="12.125" bestFit="1" customWidth="1"/>
    <col min="194" max="194" width="15" bestFit="1" customWidth="1"/>
    <col min="195" max="203" width="11"/>
    <col min="204" max="211" width="12" bestFit="1" customWidth="1"/>
    <col min="212" max="212" width="14.875" bestFit="1" customWidth="1"/>
    <col min="213" max="213" width="14.75" bestFit="1" customWidth="1"/>
    <col min="214" max="214" width="15.875" bestFit="1" customWidth="1"/>
    <col min="215" max="215" width="14.25" bestFit="1" customWidth="1"/>
    <col min="216" max="216" width="14.75" bestFit="1" customWidth="1"/>
    <col min="217" max="217" width="13.875" bestFit="1" customWidth="1"/>
    <col min="218" max="218" width="15" bestFit="1" customWidth="1"/>
    <col min="219" max="219" width="13.375" bestFit="1" customWidth="1"/>
    <col min="220" max="220" width="13.875" bestFit="1" customWidth="1"/>
    <col min="221" max="221" width="13.625" bestFit="1" customWidth="1"/>
    <col min="222" max="222" width="14.75" bestFit="1" customWidth="1"/>
    <col min="223" max="223" width="13.125" bestFit="1" customWidth="1"/>
    <col min="224" max="224" width="13.625" bestFit="1" customWidth="1"/>
    <col min="225" max="225" width="15.375" bestFit="1" customWidth="1"/>
    <col min="226" max="226" width="13.75" bestFit="1" customWidth="1"/>
    <col min="227" max="227" width="14.25" bestFit="1" customWidth="1"/>
    <col min="228" max="228" width="12.75" bestFit="1" customWidth="1"/>
    <col min="229" max="229" width="32.125" customWidth="1"/>
    <col min="230" max="230" width="30.625" style="4" customWidth="1"/>
    <col min="231" max="231" width="18.375" customWidth="1"/>
    <col min="232" max="232" width="15.625" customWidth="1"/>
  </cols>
  <sheetData>
    <row r="1" spans="1:232" s="36" customFormat="1">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0"/>
      <c r="U1" s="31" t="s">
        <v>19</v>
      </c>
      <c r="V1" s="31" t="s">
        <v>20</v>
      </c>
      <c r="W1" s="31" t="s">
        <v>21</v>
      </c>
      <c r="X1" s="31" t="s">
        <v>22</v>
      </c>
      <c r="Y1" s="31" t="s">
        <v>23</v>
      </c>
      <c r="Z1" s="31" t="s">
        <v>24</v>
      </c>
      <c r="AA1" s="31" t="s">
        <v>25</v>
      </c>
      <c r="AB1" s="31" t="s">
        <v>26</v>
      </c>
      <c r="AC1" s="31" t="s">
        <v>27</v>
      </c>
      <c r="AD1" s="31" t="s">
        <v>28</v>
      </c>
      <c r="AE1" s="31" t="s">
        <v>29</v>
      </c>
      <c r="AF1" s="31" t="s">
        <v>30</v>
      </c>
      <c r="AG1" s="32" t="s">
        <v>31</v>
      </c>
      <c r="AH1" s="32" t="s">
        <v>32</v>
      </c>
      <c r="AI1" s="32" t="s">
        <v>33</v>
      </c>
      <c r="AJ1" s="32" t="s">
        <v>34</v>
      </c>
      <c r="AK1" s="32" t="s">
        <v>35</v>
      </c>
      <c r="AL1" s="32" t="s">
        <v>36</v>
      </c>
      <c r="AM1" s="32" t="s">
        <v>37</v>
      </c>
      <c r="AN1" s="32" t="s">
        <v>38</v>
      </c>
      <c r="AO1" s="32" t="s">
        <v>39</v>
      </c>
      <c r="AP1" s="32" t="s">
        <v>40</v>
      </c>
      <c r="AQ1" s="32" t="s">
        <v>41</v>
      </c>
      <c r="AR1" s="32" t="s">
        <v>42</v>
      </c>
      <c r="AS1" s="32" t="s">
        <v>43</v>
      </c>
      <c r="AT1" s="32" t="s">
        <v>44</v>
      </c>
      <c r="AU1" s="32" t="s">
        <v>45</v>
      </c>
      <c r="AV1" s="32" t="s">
        <v>46</v>
      </c>
      <c r="AW1" s="32" t="s">
        <v>47</v>
      </c>
      <c r="AX1" s="32" t="s">
        <v>48</v>
      </c>
      <c r="AY1" s="33" t="s">
        <v>49</v>
      </c>
      <c r="AZ1" s="33" t="s">
        <v>50</v>
      </c>
      <c r="BA1" s="33" t="s">
        <v>51</v>
      </c>
      <c r="BB1" s="33" t="s">
        <v>52</v>
      </c>
      <c r="BC1" s="33" t="s">
        <v>53</v>
      </c>
      <c r="BD1" s="33" t="s">
        <v>54</v>
      </c>
      <c r="BE1" s="33" t="s">
        <v>55</v>
      </c>
      <c r="BF1" s="33" t="s">
        <v>56</v>
      </c>
      <c r="BG1" s="33" t="s">
        <v>57</v>
      </c>
      <c r="BH1" s="33" t="s">
        <v>58</v>
      </c>
      <c r="BI1" s="33" t="s">
        <v>59</v>
      </c>
      <c r="BJ1" s="33" t="s">
        <v>60</v>
      </c>
      <c r="BK1" s="33" t="s">
        <v>61</v>
      </c>
      <c r="BL1" s="33" t="s">
        <v>62</v>
      </c>
      <c r="BM1" s="33" t="s">
        <v>63</v>
      </c>
      <c r="BN1" s="33" t="s">
        <v>64</v>
      </c>
      <c r="BO1" s="33" t="s">
        <v>65</v>
      </c>
      <c r="BP1" s="34" t="s">
        <v>66</v>
      </c>
      <c r="HV1" s="2"/>
      <c r="HW1" s="133"/>
      <c r="HX1" s="133"/>
    </row>
    <row r="2" spans="1:232" s="42" customFormat="1" ht="45" customHeight="1">
      <c r="A2" s="36" t="s">
        <v>231</v>
      </c>
      <c r="B2" s="30" t="s">
        <v>239</v>
      </c>
      <c r="C2" s="2" t="s">
        <v>603</v>
      </c>
      <c r="D2" s="37" t="s">
        <v>604</v>
      </c>
      <c r="E2" s="36" t="s">
        <v>605</v>
      </c>
      <c r="F2" s="36">
        <v>77</v>
      </c>
      <c r="G2" s="36" t="s">
        <v>235</v>
      </c>
      <c r="H2" s="2" t="s">
        <v>606</v>
      </c>
      <c r="I2" s="36" t="s">
        <v>237</v>
      </c>
      <c r="J2" s="36" t="s">
        <v>237</v>
      </c>
      <c r="K2" s="2" t="s">
        <v>556</v>
      </c>
      <c r="L2" s="29" t="s">
        <v>607</v>
      </c>
      <c r="N2" s="30" t="s">
        <v>608</v>
      </c>
      <c r="O2" s="52">
        <v>0.625</v>
      </c>
      <c r="P2" s="36" t="s">
        <v>480</v>
      </c>
      <c r="Q2" s="2" t="s">
        <v>609</v>
      </c>
      <c r="R2" s="36">
        <v>46</v>
      </c>
      <c r="S2" s="2" t="s">
        <v>610</v>
      </c>
      <c r="T2" s="2"/>
      <c r="U2" s="36">
        <v>0</v>
      </c>
      <c r="V2" s="36">
        <v>0</v>
      </c>
      <c r="W2" s="36">
        <v>0</v>
      </c>
      <c r="X2" s="36">
        <v>2</v>
      </c>
      <c r="Y2" s="36">
        <v>0</v>
      </c>
      <c r="Z2" s="36">
        <v>0</v>
      </c>
      <c r="AA2" s="36">
        <v>0</v>
      </c>
      <c r="AB2" s="36">
        <v>0</v>
      </c>
      <c r="AC2" s="36">
        <v>0</v>
      </c>
      <c r="AD2" s="36">
        <v>0</v>
      </c>
      <c r="AE2" s="36">
        <v>0</v>
      </c>
      <c r="AF2" s="39">
        <f t="shared" ref="AF2" si="0">SUM(U2:AE2)</f>
        <v>2</v>
      </c>
      <c r="AG2" s="36">
        <v>0</v>
      </c>
      <c r="AH2" s="36">
        <v>0</v>
      </c>
      <c r="AI2" s="36">
        <v>0</v>
      </c>
      <c r="AJ2" s="36">
        <v>0</v>
      </c>
      <c r="AK2" s="36">
        <v>0</v>
      </c>
      <c r="AL2" s="36">
        <v>2</v>
      </c>
      <c r="AM2" s="36">
        <v>1</v>
      </c>
      <c r="AN2" s="36">
        <v>0</v>
      </c>
      <c r="AO2" s="36">
        <v>0</v>
      </c>
      <c r="AP2" s="36">
        <v>2</v>
      </c>
      <c r="AQ2" s="36">
        <v>0</v>
      </c>
      <c r="AR2" s="36">
        <v>0</v>
      </c>
      <c r="AS2" s="36">
        <v>0</v>
      </c>
      <c r="AT2" s="36">
        <v>0</v>
      </c>
      <c r="AU2" s="36">
        <v>0</v>
      </c>
      <c r="AV2" s="36">
        <v>0</v>
      </c>
      <c r="AW2" s="36">
        <v>0</v>
      </c>
      <c r="AX2" s="40">
        <f t="shared" ref="AX2" si="1">SUM(AG2:AW2)</f>
        <v>5</v>
      </c>
      <c r="AY2" s="36">
        <v>0</v>
      </c>
      <c r="AZ2" s="36">
        <v>0</v>
      </c>
      <c r="BA2" s="36">
        <v>0</v>
      </c>
      <c r="BB2" s="36">
        <f t="shared" ref="BB2" si="2">8*(AY2*(AZ2*60+BA2))</f>
        <v>0</v>
      </c>
      <c r="BC2" s="36">
        <v>6</v>
      </c>
      <c r="BD2" s="36">
        <v>0</v>
      </c>
      <c r="BE2" s="36">
        <v>20</v>
      </c>
      <c r="BF2" s="36">
        <f t="shared" ref="BF2" si="3">4*(BC2*(BD2*60+BE2))</f>
        <v>480</v>
      </c>
      <c r="BG2" s="36">
        <v>7</v>
      </c>
      <c r="BH2" s="36">
        <v>0</v>
      </c>
      <c r="BI2" s="36">
        <v>30</v>
      </c>
      <c r="BJ2" s="36">
        <f t="shared" ref="BJ2" si="4">3.3*(BG2*(BH2*60+BI2))</f>
        <v>693</v>
      </c>
      <c r="BK2" s="36">
        <v>6</v>
      </c>
      <c r="BL2" s="36">
        <v>0</v>
      </c>
      <c r="BM2" s="36">
        <f t="shared" ref="BM2" si="5">1*(7*(BK2*60+BL2))</f>
        <v>2520</v>
      </c>
      <c r="BN2" s="33">
        <f t="shared" ref="BN2" si="6">BB2+BF2+BJ2</f>
        <v>1173</v>
      </c>
      <c r="BO2" s="43"/>
      <c r="BP2" s="47"/>
      <c r="CH2" s="36"/>
      <c r="CZ2" s="36"/>
      <c r="DA2" s="36"/>
      <c r="DB2" s="36"/>
      <c r="DC2" s="36"/>
      <c r="DD2" s="36"/>
      <c r="DE2" s="36"/>
      <c r="DF2" s="36"/>
      <c r="DG2" s="36"/>
      <c r="DH2" s="36"/>
      <c r="DI2" s="36"/>
      <c r="DJ2" s="36"/>
      <c r="DK2" s="36"/>
      <c r="DL2" s="36"/>
      <c r="DM2" s="36"/>
      <c r="DN2" s="36"/>
      <c r="DO2" s="36"/>
      <c r="DP2" s="36"/>
      <c r="EJ2" s="36"/>
      <c r="FB2" s="36"/>
      <c r="FJ2" s="36"/>
      <c r="FK2" s="36"/>
      <c r="FL2" s="36"/>
      <c r="FM2" s="36"/>
      <c r="FN2" s="36"/>
      <c r="FO2" s="36"/>
      <c r="FP2" s="36"/>
      <c r="FQ2" s="36"/>
      <c r="FR2" s="36"/>
      <c r="HH2" s="36"/>
      <c r="HL2" s="36"/>
      <c r="HP2" s="36"/>
      <c r="HS2" s="36"/>
      <c r="HT2" s="36"/>
      <c r="HV2" s="2"/>
    </row>
    <row r="3" spans="1:232" s="6" customFormat="1" ht="45" customHeight="1">
      <c r="A3" s="6" t="s">
        <v>320</v>
      </c>
      <c r="B3" s="30" t="s">
        <v>239</v>
      </c>
      <c r="C3" s="4" t="s">
        <v>611</v>
      </c>
      <c r="D3" s="65">
        <v>70111933</v>
      </c>
      <c r="E3" s="6" t="s">
        <v>612</v>
      </c>
      <c r="F3" s="6">
        <v>46</v>
      </c>
      <c r="G3" s="6" t="s">
        <v>300</v>
      </c>
      <c r="H3" s="6" t="s">
        <v>613</v>
      </c>
      <c r="I3" s="6" t="s">
        <v>343</v>
      </c>
      <c r="J3" s="6" t="s">
        <v>237</v>
      </c>
      <c r="K3" s="4" t="s">
        <v>614</v>
      </c>
      <c r="L3" s="65" t="s">
        <v>607</v>
      </c>
      <c r="M3" s="6" t="s">
        <v>615</v>
      </c>
      <c r="N3" s="7" t="s">
        <v>616</v>
      </c>
      <c r="O3" s="27">
        <v>0.60416666666666663</v>
      </c>
      <c r="P3" s="6" t="s">
        <v>617</v>
      </c>
      <c r="Q3" s="36">
        <v>1449983</v>
      </c>
      <c r="R3" s="6">
        <v>51</v>
      </c>
      <c r="S3" s="4" t="s">
        <v>618</v>
      </c>
      <c r="T3" s="4"/>
      <c r="U3" s="6">
        <v>0</v>
      </c>
      <c r="V3" s="6">
        <v>1</v>
      </c>
      <c r="W3" s="6">
        <v>0</v>
      </c>
      <c r="X3" s="6">
        <v>1</v>
      </c>
      <c r="Y3" s="6">
        <v>0</v>
      </c>
      <c r="Z3" s="6">
        <v>2</v>
      </c>
      <c r="AA3" s="6">
        <v>0</v>
      </c>
      <c r="AB3" s="6">
        <v>0</v>
      </c>
      <c r="AC3" s="6">
        <v>0</v>
      </c>
      <c r="AD3" s="6">
        <v>0</v>
      </c>
      <c r="AE3" s="6">
        <v>0</v>
      </c>
      <c r="AF3" s="39">
        <f t="shared" ref="AF3:AF11" si="7">SUM(U3:AE3)</f>
        <v>4</v>
      </c>
      <c r="AG3" s="6">
        <v>0</v>
      </c>
      <c r="AH3" s="6">
        <v>0</v>
      </c>
      <c r="AI3" s="6">
        <v>0</v>
      </c>
      <c r="AJ3" s="6">
        <v>0</v>
      </c>
      <c r="AK3" s="6">
        <v>0</v>
      </c>
      <c r="AL3" s="6">
        <v>0</v>
      </c>
      <c r="AM3" s="6">
        <v>0</v>
      </c>
      <c r="AN3" s="6">
        <v>0</v>
      </c>
      <c r="AO3" s="6">
        <v>0</v>
      </c>
      <c r="AP3" s="6">
        <v>2</v>
      </c>
      <c r="AQ3" s="6">
        <v>0</v>
      </c>
      <c r="AR3" s="6">
        <v>0</v>
      </c>
      <c r="AS3" s="6">
        <v>0</v>
      </c>
      <c r="AT3" s="6">
        <v>0</v>
      </c>
      <c r="AU3" s="6">
        <v>0</v>
      </c>
      <c r="AV3" s="6">
        <v>0</v>
      </c>
      <c r="AW3" s="6">
        <v>0</v>
      </c>
      <c r="AX3" s="40">
        <f t="shared" ref="AX3:AX13" si="8">SUM(AG3:AW3)</f>
        <v>2</v>
      </c>
      <c r="AY3" s="6">
        <v>0</v>
      </c>
      <c r="AZ3" s="6">
        <v>0</v>
      </c>
      <c r="BA3" s="6">
        <v>0</v>
      </c>
      <c r="BB3" s="36">
        <f t="shared" ref="BB3:BB16" si="9">8*(AY3*(AZ3*60+BA3))</f>
        <v>0</v>
      </c>
      <c r="BC3" s="6">
        <v>2</v>
      </c>
      <c r="BD3" s="6">
        <v>1</v>
      </c>
      <c r="BE3" s="6">
        <v>30</v>
      </c>
      <c r="BF3" s="36">
        <f t="shared" ref="BF3:BF13" si="10">4*(BC3*(BD3*60+BE3))</f>
        <v>720</v>
      </c>
      <c r="BG3" s="6">
        <v>3</v>
      </c>
      <c r="BH3" s="6">
        <v>1</v>
      </c>
      <c r="BI3" s="6">
        <v>30</v>
      </c>
      <c r="BJ3" s="36">
        <f t="shared" ref="BJ3:BJ13" si="11">3.3*(BG3*(BH3*60+BI3))</f>
        <v>891</v>
      </c>
      <c r="BK3" s="6">
        <v>4</v>
      </c>
      <c r="BL3" s="6">
        <v>0</v>
      </c>
      <c r="BM3" s="36">
        <f t="shared" ref="BM3:BM12" si="12">1*(7*(BK3*60+BL3))</f>
        <v>1680</v>
      </c>
      <c r="BN3" s="33">
        <f t="shared" ref="BN3:BN11" si="13">BB3+BF3+BJ3</f>
        <v>1611</v>
      </c>
      <c r="BO3" s="15" t="s">
        <v>619</v>
      </c>
      <c r="BP3" s="18" t="s">
        <v>620</v>
      </c>
      <c r="CZ3" s="36"/>
      <c r="DL3" s="36"/>
      <c r="DO3" s="36"/>
      <c r="DP3" s="36"/>
      <c r="EJ3" s="36"/>
      <c r="FB3" s="36"/>
      <c r="HV3" s="4"/>
    </row>
    <row r="4" spans="1:232" ht="45" customHeight="1">
      <c r="A4" s="6" t="s">
        <v>320</v>
      </c>
      <c r="B4" s="7" t="s">
        <v>239</v>
      </c>
      <c r="C4" s="4" t="s">
        <v>621</v>
      </c>
      <c r="D4" s="65">
        <v>4893794</v>
      </c>
      <c r="E4" s="6" t="s">
        <v>622</v>
      </c>
      <c r="F4" s="6">
        <v>44</v>
      </c>
      <c r="G4" s="6" t="s">
        <v>235</v>
      </c>
      <c r="H4" s="6" t="s">
        <v>343</v>
      </c>
      <c r="I4" s="6" t="s">
        <v>343</v>
      </c>
      <c r="J4" s="6" t="s">
        <v>237</v>
      </c>
      <c r="K4" s="4" t="s">
        <v>623</v>
      </c>
      <c r="L4" s="65" t="s">
        <v>607</v>
      </c>
      <c r="M4" s="62" t="s">
        <v>624</v>
      </c>
      <c r="N4" s="7" t="s">
        <v>256</v>
      </c>
      <c r="O4" s="27">
        <v>0.29166666666666669</v>
      </c>
      <c r="P4" s="28" t="s">
        <v>480</v>
      </c>
      <c r="Q4" s="36">
        <v>1459015</v>
      </c>
      <c r="R4" s="6">
        <v>40</v>
      </c>
      <c r="S4" s="4" t="s">
        <v>625</v>
      </c>
      <c r="T4" s="4"/>
      <c r="U4" s="6">
        <v>0</v>
      </c>
      <c r="V4" s="6">
        <v>1</v>
      </c>
      <c r="W4" s="6">
        <v>1</v>
      </c>
      <c r="X4" s="6">
        <v>1</v>
      </c>
      <c r="Y4" s="6">
        <v>2</v>
      </c>
      <c r="Z4" s="6">
        <v>0</v>
      </c>
      <c r="AA4" s="6">
        <v>0</v>
      </c>
      <c r="AB4" s="6">
        <v>0</v>
      </c>
      <c r="AC4" s="6">
        <v>0</v>
      </c>
      <c r="AD4" s="6">
        <v>0</v>
      </c>
      <c r="AE4" s="6">
        <v>0</v>
      </c>
      <c r="AF4" s="39">
        <f t="shared" si="7"/>
        <v>5</v>
      </c>
      <c r="AG4" s="6">
        <v>0</v>
      </c>
      <c r="AH4" s="6">
        <v>0</v>
      </c>
      <c r="AI4" s="6">
        <v>0</v>
      </c>
      <c r="AJ4" s="6">
        <v>0</v>
      </c>
      <c r="AK4" s="6">
        <v>1</v>
      </c>
      <c r="AL4" s="6">
        <v>0</v>
      </c>
      <c r="AM4" s="6">
        <v>0</v>
      </c>
      <c r="AN4" s="6">
        <v>0</v>
      </c>
      <c r="AO4" s="6">
        <v>0</v>
      </c>
      <c r="AP4" s="6">
        <v>2</v>
      </c>
      <c r="AQ4" s="6">
        <v>0</v>
      </c>
      <c r="AR4" s="6">
        <v>0</v>
      </c>
      <c r="AS4" s="6">
        <v>0</v>
      </c>
      <c r="AT4" s="6">
        <v>0</v>
      </c>
      <c r="AU4" s="6">
        <v>0</v>
      </c>
      <c r="AV4" s="6">
        <v>0</v>
      </c>
      <c r="AW4" s="6">
        <v>0</v>
      </c>
      <c r="AX4" s="40">
        <f t="shared" si="8"/>
        <v>3</v>
      </c>
      <c r="AY4" s="6">
        <v>0</v>
      </c>
      <c r="AZ4" s="6">
        <v>0</v>
      </c>
      <c r="BA4" s="6">
        <v>0</v>
      </c>
      <c r="BB4" s="36">
        <f t="shared" si="9"/>
        <v>0</v>
      </c>
      <c r="BC4" s="6">
        <v>0</v>
      </c>
      <c r="BD4" s="6">
        <v>0</v>
      </c>
      <c r="BE4" s="6">
        <v>0</v>
      </c>
      <c r="BF4" s="36">
        <f t="shared" si="10"/>
        <v>0</v>
      </c>
      <c r="BG4" s="6">
        <v>5</v>
      </c>
      <c r="BH4" s="6">
        <v>1</v>
      </c>
      <c r="BI4" s="6">
        <v>0</v>
      </c>
      <c r="BJ4" s="36">
        <f t="shared" si="11"/>
        <v>990</v>
      </c>
      <c r="BK4" s="6">
        <v>12</v>
      </c>
      <c r="BL4" s="6">
        <v>0</v>
      </c>
      <c r="BM4" s="36">
        <f t="shared" si="12"/>
        <v>5040</v>
      </c>
      <c r="BN4" s="33">
        <f t="shared" si="13"/>
        <v>990</v>
      </c>
      <c r="BO4" s="14" t="s">
        <v>239</v>
      </c>
      <c r="BP4" s="18" t="s">
        <v>626</v>
      </c>
      <c r="CZ4" s="36"/>
      <c r="DO4" s="36"/>
      <c r="DP4" s="36"/>
    </row>
    <row r="5" spans="1:232" ht="35.25" customHeight="1">
      <c r="A5" s="36" t="s">
        <v>231</v>
      </c>
      <c r="B5" s="38" t="s">
        <v>239</v>
      </c>
      <c r="C5" s="2" t="s">
        <v>627</v>
      </c>
      <c r="D5" s="37">
        <v>5115880</v>
      </c>
      <c r="E5" s="2" t="s">
        <v>628</v>
      </c>
      <c r="F5" s="2">
        <v>54</v>
      </c>
      <c r="G5" s="2" t="s">
        <v>235</v>
      </c>
      <c r="H5" s="2" t="s">
        <v>343</v>
      </c>
      <c r="I5" s="2" t="s">
        <v>343</v>
      </c>
      <c r="J5" s="2" t="s">
        <v>237</v>
      </c>
      <c r="K5" s="2" t="s">
        <v>629</v>
      </c>
      <c r="L5" s="37" t="s">
        <v>607</v>
      </c>
      <c r="M5" s="2" t="s">
        <v>630</v>
      </c>
      <c r="N5" s="38" t="s">
        <v>601</v>
      </c>
      <c r="O5" s="46">
        <v>0.53125</v>
      </c>
      <c r="P5" s="28" t="s">
        <v>351</v>
      </c>
      <c r="Q5" s="36">
        <v>1468783</v>
      </c>
      <c r="R5" s="2">
        <v>50</v>
      </c>
      <c r="S5" s="2" t="s">
        <v>631</v>
      </c>
      <c r="T5" s="2"/>
      <c r="U5" s="2">
        <v>0</v>
      </c>
      <c r="V5" s="2">
        <v>0</v>
      </c>
      <c r="W5" s="2">
        <v>0</v>
      </c>
      <c r="X5" s="2">
        <v>0</v>
      </c>
      <c r="Y5" s="2">
        <v>0</v>
      </c>
      <c r="Z5" s="2">
        <v>0</v>
      </c>
      <c r="AA5" s="2">
        <v>0</v>
      </c>
      <c r="AB5" s="2">
        <v>0</v>
      </c>
      <c r="AC5" s="2">
        <v>0</v>
      </c>
      <c r="AD5" s="2">
        <v>0</v>
      </c>
      <c r="AE5" s="2">
        <v>0</v>
      </c>
      <c r="AF5" s="39">
        <f t="shared" si="7"/>
        <v>0</v>
      </c>
      <c r="AG5" s="68">
        <v>0</v>
      </c>
      <c r="AH5" s="68">
        <v>0</v>
      </c>
      <c r="AI5" s="68">
        <v>0</v>
      </c>
      <c r="AJ5" s="68">
        <v>0</v>
      </c>
      <c r="AK5" s="68">
        <v>0</v>
      </c>
      <c r="AL5" s="68">
        <v>0</v>
      </c>
      <c r="AM5" s="68">
        <v>1</v>
      </c>
      <c r="AN5" s="68">
        <v>0</v>
      </c>
      <c r="AO5" s="68">
        <v>0</v>
      </c>
      <c r="AP5" s="68">
        <v>2</v>
      </c>
      <c r="AQ5" s="68">
        <v>0</v>
      </c>
      <c r="AR5" s="68">
        <v>0</v>
      </c>
      <c r="AS5" s="68">
        <v>0</v>
      </c>
      <c r="AT5" s="68">
        <v>0</v>
      </c>
      <c r="AU5" s="68">
        <v>0</v>
      </c>
      <c r="AV5" s="68">
        <v>0</v>
      </c>
      <c r="AW5" s="68">
        <v>0</v>
      </c>
      <c r="AX5" s="40">
        <f t="shared" si="8"/>
        <v>3</v>
      </c>
      <c r="AY5" s="36">
        <v>0</v>
      </c>
      <c r="AZ5" s="36">
        <v>0</v>
      </c>
      <c r="BA5" s="36">
        <v>0</v>
      </c>
      <c r="BB5" s="36">
        <f t="shared" si="9"/>
        <v>0</v>
      </c>
      <c r="BC5" s="36">
        <v>1</v>
      </c>
      <c r="BD5" s="36">
        <v>1</v>
      </c>
      <c r="BE5" s="36">
        <v>0</v>
      </c>
      <c r="BF5" s="36">
        <f t="shared" si="10"/>
        <v>240</v>
      </c>
      <c r="BG5" s="36">
        <v>7</v>
      </c>
      <c r="BH5" s="36">
        <v>1</v>
      </c>
      <c r="BI5" s="36">
        <v>0</v>
      </c>
      <c r="BJ5" s="36">
        <f t="shared" si="11"/>
        <v>1386</v>
      </c>
      <c r="BK5" s="36">
        <v>6</v>
      </c>
      <c r="BL5" s="36">
        <v>0</v>
      </c>
      <c r="BM5" s="36">
        <f t="shared" si="12"/>
        <v>2520</v>
      </c>
      <c r="BN5" s="33">
        <f t="shared" si="13"/>
        <v>1626</v>
      </c>
      <c r="BO5" s="41" t="s">
        <v>239</v>
      </c>
      <c r="BP5" s="35" t="s">
        <v>239</v>
      </c>
      <c r="BQ5" s="2"/>
      <c r="BR5" s="2"/>
      <c r="BS5" s="2"/>
      <c r="BT5" s="2"/>
      <c r="BU5" s="2"/>
      <c r="BV5" s="44"/>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2"/>
      <c r="DR5" s="2"/>
      <c r="DS5" s="36"/>
      <c r="DT5" s="36"/>
      <c r="DU5" s="36"/>
      <c r="DV5" s="36"/>
      <c r="DW5" s="36"/>
      <c r="DX5" s="2"/>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2"/>
      <c r="FT5" s="2"/>
      <c r="FU5" s="36"/>
      <c r="FV5" s="36"/>
      <c r="FW5" s="36"/>
      <c r="FX5" s="36"/>
      <c r="FY5" s="36"/>
      <c r="FZ5" s="2"/>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c r="HD5" s="36"/>
      <c r="HE5" s="36"/>
      <c r="HF5" s="36"/>
      <c r="HG5" s="36"/>
      <c r="HH5" s="36"/>
      <c r="HI5" s="36"/>
      <c r="HJ5" s="36"/>
      <c r="HK5" s="36"/>
      <c r="HL5" s="36"/>
      <c r="HM5" s="36"/>
      <c r="HN5" s="36"/>
      <c r="HO5" s="36"/>
      <c r="HP5" s="36"/>
      <c r="HQ5" s="36"/>
      <c r="HR5" s="36"/>
      <c r="HS5" s="36"/>
      <c r="HT5" s="36"/>
      <c r="HU5" s="2"/>
      <c r="HV5" s="2"/>
      <c r="HW5" s="64"/>
      <c r="HX5" s="36"/>
    </row>
    <row r="6" spans="1:232" ht="45" customHeight="1">
      <c r="A6" s="36" t="s">
        <v>231</v>
      </c>
      <c r="B6" s="38" t="s">
        <v>239</v>
      </c>
      <c r="C6" s="2" t="s">
        <v>632</v>
      </c>
      <c r="D6" s="37">
        <v>70464928</v>
      </c>
      <c r="E6" s="2" t="s">
        <v>633</v>
      </c>
      <c r="F6" s="36">
        <v>60</v>
      </c>
      <c r="G6" s="2" t="s">
        <v>235</v>
      </c>
      <c r="H6" s="2" t="s">
        <v>634</v>
      </c>
      <c r="I6" s="2" t="s">
        <v>343</v>
      </c>
      <c r="J6" s="2" t="s">
        <v>237</v>
      </c>
      <c r="K6" s="2" t="s">
        <v>635</v>
      </c>
      <c r="L6" s="37" t="s">
        <v>607</v>
      </c>
      <c r="M6" s="2" t="s">
        <v>636</v>
      </c>
      <c r="N6" s="38" t="s">
        <v>637</v>
      </c>
      <c r="O6" s="46">
        <v>0.47916666666666669</v>
      </c>
      <c r="P6" s="28" t="s">
        <v>384</v>
      </c>
      <c r="Q6" s="36">
        <v>1484842</v>
      </c>
      <c r="R6" s="2">
        <v>46</v>
      </c>
      <c r="S6" s="2" t="s">
        <v>638</v>
      </c>
      <c r="T6" s="2"/>
      <c r="U6" s="36">
        <v>0</v>
      </c>
      <c r="V6" s="36">
        <v>0</v>
      </c>
      <c r="W6" s="36">
        <v>0</v>
      </c>
      <c r="X6" s="36">
        <v>0</v>
      </c>
      <c r="Y6" s="36">
        <v>0</v>
      </c>
      <c r="Z6" s="36">
        <v>0</v>
      </c>
      <c r="AA6" s="36">
        <v>0</v>
      </c>
      <c r="AB6" s="36">
        <v>0</v>
      </c>
      <c r="AC6" s="36">
        <v>0</v>
      </c>
      <c r="AD6" s="36">
        <v>0</v>
      </c>
      <c r="AE6" s="36">
        <v>0</v>
      </c>
      <c r="AF6" s="39">
        <f t="shared" si="7"/>
        <v>0</v>
      </c>
      <c r="AG6" s="36">
        <v>0</v>
      </c>
      <c r="AH6" s="36">
        <v>0</v>
      </c>
      <c r="AI6" s="36">
        <v>0</v>
      </c>
      <c r="AJ6" s="36">
        <v>0</v>
      </c>
      <c r="AK6" s="36">
        <v>0</v>
      </c>
      <c r="AL6" s="36">
        <v>0</v>
      </c>
      <c r="AM6" s="36">
        <v>0</v>
      </c>
      <c r="AN6" s="36">
        <v>0</v>
      </c>
      <c r="AO6" s="36">
        <v>0</v>
      </c>
      <c r="AP6" s="36">
        <v>2</v>
      </c>
      <c r="AQ6" s="36">
        <v>1</v>
      </c>
      <c r="AR6" s="36">
        <v>0</v>
      </c>
      <c r="AS6" s="36">
        <v>0</v>
      </c>
      <c r="AT6" s="36">
        <v>0</v>
      </c>
      <c r="AU6" s="36">
        <v>0</v>
      </c>
      <c r="AV6" s="36">
        <v>0</v>
      </c>
      <c r="AW6" s="36">
        <v>0</v>
      </c>
      <c r="AX6" s="40">
        <f t="shared" si="8"/>
        <v>3</v>
      </c>
      <c r="AY6" s="36">
        <v>0</v>
      </c>
      <c r="AZ6" s="36">
        <v>0</v>
      </c>
      <c r="BA6" s="36">
        <v>0</v>
      </c>
      <c r="BB6" s="36">
        <f t="shared" si="9"/>
        <v>0</v>
      </c>
      <c r="BC6" s="36">
        <v>0</v>
      </c>
      <c r="BD6" s="36">
        <v>0</v>
      </c>
      <c r="BE6" s="36">
        <v>0</v>
      </c>
      <c r="BF6" s="36">
        <f t="shared" si="10"/>
        <v>0</v>
      </c>
      <c r="BG6" s="36">
        <v>2</v>
      </c>
      <c r="BH6" s="36">
        <v>1</v>
      </c>
      <c r="BI6" s="36">
        <v>30</v>
      </c>
      <c r="BJ6" s="36">
        <f t="shared" si="11"/>
        <v>594</v>
      </c>
      <c r="BK6" s="36">
        <v>8</v>
      </c>
      <c r="BL6" s="36">
        <v>0</v>
      </c>
      <c r="BM6" s="36">
        <f t="shared" si="12"/>
        <v>3360</v>
      </c>
      <c r="BN6" s="33">
        <f t="shared" si="13"/>
        <v>594</v>
      </c>
      <c r="BO6" s="41" t="s">
        <v>239</v>
      </c>
      <c r="BP6" s="18" t="s">
        <v>639</v>
      </c>
      <c r="BQ6" s="2"/>
      <c r="BR6" s="2"/>
      <c r="BS6" s="2"/>
      <c r="BT6" s="2"/>
      <c r="BU6" s="2"/>
      <c r="BV6" s="2"/>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2"/>
      <c r="DR6" s="2"/>
      <c r="DS6" s="2"/>
      <c r="DT6" s="2"/>
      <c r="DU6" s="36"/>
      <c r="DV6" s="2"/>
      <c r="DW6" s="2"/>
      <c r="DX6" s="2"/>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2"/>
      <c r="FT6" s="2"/>
      <c r="FU6" s="48"/>
      <c r="FV6" s="48"/>
      <c r="FW6" s="28"/>
      <c r="FX6" s="36"/>
      <c r="FY6" s="36"/>
      <c r="FZ6" s="2"/>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2"/>
      <c r="HW6" s="2"/>
      <c r="HX6" s="36"/>
    </row>
    <row r="7" spans="1:232" ht="45" customHeight="1">
      <c r="A7" s="36" t="s">
        <v>231</v>
      </c>
      <c r="B7" s="38" t="s">
        <v>239</v>
      </c>
      <c r="C7" s="2" t="s">
        <v>640</v>
      </c>
      <c r="D7" s="37">
        <v>70431620</v>
      </c>
      <c r="E7" s="2" t="s">
        <v>641</v>
      </c>
      <c r="F7" s="2">
        <v>61</v>
      </c>
      <c r="G7" s="2" t="s">
        <v>300</v>
      </c>
      <c r="H7" s="2" t="s">
        <v>343</v>
      </c>
      <c r="I7" s="2" t="s">
        <v>343</v>
      </c>
      <c r="J7" s="2" t="s">
        <v>237</v>
      </c>
      <c r="K7" s="2" t="s">
        <v>642</v>
      </c>
      <c r="L7" s="37" t="s">
        <v>607</v>
      </c>
      <c r="M7" s="2" t="s">
        <v>239</v>
      </c>
      <c r="N7" s="38" t="s">
        <v>637</v>
      </c>
      <c r="O7" s="46">
        <v>0.66666666666666663</v>
      </c>
      <c r="P7" s="28" t="s">
        <v>335</v>
      </c>
      <c r="Q7" s="36">
        <v>1484816</v>
      </c>
      <c r="R7" s="2">
        <v>55</v>
      </c>
      <c r="S7" s="2" t="s">
        <v>643</v>
      </c>
      <c r="T7" s="2"/>
      <c r="U7" s="36">
        <v>0</v>
      </c>
      <c r="V7" s="36">
        <v>0</v>
      </c>
      <c r="W7" s="36">
        <v>0</v>
      </c>
      <c r="X7" s="36">
        <v>0</v>
      </c>
      <c r="Y7" s="36">
        <v>0</v>
      </c>
      <c r="Z7" s="36">
        <v>2</v>
      </c>
      <c r="AA7" s="36">
        <v>0</v>
      </c>
      <c r="AB7" s="36">
        <v>0</v>
      </c>
      <c r="AC7" s="36">
        <v>0</v>
      </c>
      <c r="AD7" s="36">
        <v>0</v>
      </c>
      <c r="AE7" s="36">
        <v>0</v>
      </c>
      <c r="AF7" s="39">
        <f t="shared" si="7"/>
        <v>2</v>
      </c>
      <c r="AG7" s="36">
        <v>0</v>
      </c>
      <c r="AH7" s="36">
        <v>0</v>
      </c>
      <c r="AI7" s="36">
        <v>0</v>
      </c>
      <c r="AJ7" s="36">
        <v>1</v>
      </c>
      <c r="AK7" s="36">
        <v>0</v>
      </c>
      <c r="AL7" s="36">
        <v>0</v>
      </c>
      <c r="AM7" s="36">
        <v>0</v>
      </c>
      <c r="AN7" s="36">
        <v>0</v>
      </c>
      <c r="AO7" s="36">
        <v>0</v>
      </c>
      <c r="AP7" s="36">
        <v>3</v>
      </c>
      <c r="AQ7" s="36">
        <v>0</v>
      </c>
      <c r="AR7" s="36">
        <v>0</v>
      </c>
      <c r="AS7" s="36">
        <v>0</v>
      </c>
      <c r="AT7" s="36">
        <v>0</v>
      </c>
      <c r="AU7" s="36">
        <v>0</v>
      </c>
      <c r="AV7" s="36">
        <v>0</v>
      </c>
      <c r="AW7" s="36">
        <v>0</v>
      </c>
      <c r="AX7" s="40">
        <f t="shared" si="8"/>
        <v>4</v>
      </c>
      <c r="AY7" s="36">
        <v>0</v>
      </c>
      <c r="AZ7" s="36">
        <v>0</v>
      </c>
      <c r="BA7" s="36">
        <v>0</v>
      </c>
      <c r="BB7" s="36">
        <f t="shared" si="9"/>
        <v>0</v>
      </c>
      <c r="BC7" s="36">
        <v>2</v>
      </c>
      <c r="BD7" s="36">
        <v>1</v>
      </c>
      <c r="BE7" s="36">
        <v>0</v>
      </c>
      <c r="BF7" s="36">
        <f t="shared" si="10"/>
        <v>480</v>
      </c>
      <c r="BG7" s="36">
        <v>2</v>
      </c>
      <c r="BH7" s="36">
        <v>0</v>
      </c>
      <c r="BI7" s="36">
        <v>30</v>
      </c>
      <c r="BJ7" s="36">
        <f t="shared" si="11"/>
        <v>198</v>
      </c>
      <c r="BK7" s="36">
        <v>8</v>
      </c>
      <c r="BL7" s="36">
        <v>0</v>
      </c>
      <c r="BM7" s="36">
        <f t="shared" si="12"/>
        <v>3360</v>
      </c>
      <c r="BN7" s="33">
        <f t="shared" si="13"/>
        <v>678</v>
      </c>
      <c r="BO7" s="41"/>
      <c r="BP7" s="35"/>
      <c r="BQ7" s="2"/>
      <c r="BR7" s="46"/>
      <c r="BS7" s="2"/>
      <c r="BT7" s="2"/>
      <c r="BU7" s="2"/>
      <c r="BV7" s="2"/>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2"/>
      <c r="DR7" s="2"/>
      <c r="DS7" s="2"/>
      <c r="DT7" s="46"/>
      <c r="DU7" s="2"/>
      <c r="DV7" s="2"/>
      <c r="DW7" s="2"/>
      <c r="DX7" s="2"/>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2"/>
      <c r="FT7" s="2"/>
      <c r="FU7" s="42"/>
      <c r="FV7" s="42"/>
      <c r="FW7" s="42"/>
      <c r="FX7" s="42"/>
      <c r="FY7" s="42"/>
      <c r="FZ7" s="42"/>
      <c r="GA7" s="42"/>
      <c r="GB7" s="42"/>
      <c r="GC7" s="42"/>
      <c r="GD7" s="42"/>
      <c r="GE7" s="42"/>
      <c r="GF7" s="42"/>
      <c r="GG7" s="42"/>
      <c r="GH7" s="42"/>
      <c r="GI7" s="42"/>
      <c r="GJ7" s="42"/>
      <c r="GK7" s="42"/>
      <c r="GL7" s="36"/>
      <c r="GM7" s="42"/>
      <c r="GN7" s="42"/>
      <c r="GO7" s="42"/>
      <c r="GP7" s="42"/>
      <c r="GQ7" s="42"/>
      <c r="GR7" s="42"/>
      <c r="GS7" s="42"/>
      <c r="GT7" s="42"/>
      <c r="GU7" s="42"/>
      <c r="GV7" s="42"/>
      <c r="GW7" s="42"/>
      <c r="GX7" s="42"/>
      <c r="GY7" s="42"/>
      <c r="GZ7" s="42"/>
      <c r="HA7" s="42"/>
      <c r="HB7" s="42"/>
      <c r="HC7" s="42"/>
      <c r="HD7" s="36"/>
      <c r="HE7" s="42"/>
      <c r="HF7" s="42"/>
      <c r="HG7" s="42"/>
      <c r="HH7" s="36"/>
      <c r="HI7" s="42"/>
      <c r="HJ7" s="42"/>
      <c r="HK7" s="42"/>
      <c r="HL7" s="36"/>
      <c r="HM7" s="42"/>
      <c r="HN7" s="42"/>
      <c r="HO7" s="42"/>
      <c r="HP7" s="36"/>
      <c r="HQ7" s="42"/>
      <c r="HR7" s="42"/>
      <c r="HS7" s="36"/>
      <c r="HT7" s="36"/>
      <c r="HU7" s="42"/>
      <c r="HV7" s="2"/>
      <c r="HW7" s="64"/>
      <c r="HX7" s="36"/>
    </row>
    <row r="8" spans="1:232" ht="45" customHeight="1">
      <c r="A8" s="36" t="s">
        <v>231</v>
      </c>
      <c r="B8" s="38" t="s">
        <v>239</v>
      </c>
      <c r="C8" s="2" t="s">
        <v>644</v>
      </c>
      <c r="D8" s="37">
        <v>4472252</v>
      </c>
      <c r="E8" s="36" t="s">
        <v>645</v>
      </c>
      <c r="F8" s="36">
        <v>60</v>
      </c>
      <c r="G8" s="2" t="s">
        <v>300</v>
      </c>
      <c r="H8" s="2" t="s">
        <v>343</v>
      </c>
      <c r="I8" s="2" t="s">
        <v>343</v>
      </c>
      <c r="J8" s="2" t="s">
        <v>237</v>
      </c>
      <c r="K8" s="2" t="s">
        <v>646</v>
      </c>
      <c r="L8" s="37" t="s">
        <v>607</v>
      </c>
      <c r="M8" s="2" t="s">
        <v>647</v>
      </c>
      <c r="N8" s="30" t="s">
        <v>648</v>
      </c>
      <c r="O8" s="52">
        <v>0.50694444444444442</v>
      </c>
      <c r="P8" s="28" t="s">
        <v>351</v>
      </c>
      <c r="Q8" s="36">
        <v>1484729</v>
      </c>
      <c r="R8" s="2">
        <v>56</v>
      </c>
      <c r="S8" s="2" t="s">
        <v>649</v>
      </c>
      <c r="T8" s="2"/>
      <c r="U8" s="36">
        <v>0</v>
      </c>
      <c r="V8" s="36">
        <v>0</v>
      </c>
      <c r="W8" s="36">
        <v>0</v>
      </c>
      <c r="X8" s="36">
        <v>0</v>
      </c>
      <c r="Y8" s="36">
        <v>0</v>
      </c>
      <c r="Z8" s="36">
        <v>0</v>
      </c>
      <c r="AA8" s="36">
        <v>0</v>
      </c>
      <c r="AB8" s="36">
        <v>0</v>
      </c>
      <c r="AC8" s="36">
        <v>0</v>
      </c>
      <c r="AD8" s="36">
        <v>0</v>
      </c>
      <c r="AE8" s="36">
        <v>0</v>
      </c>
      <c r="AF8" s="39">
        <f t="shared" si="7"/>
        <v>0</v>
      </c>
      <c r="AG8" s="36">
        <v>0</v>
      </c>
      <c r="AH8" s="36">
        <v>0</v>
      </c>
      <c r="AI8" s="36">
        <v>0</v>
      </c>
      <c r="AJ8" s="36">
        <v>0</v>
      </c>
      <c r="AK8" s="36">
        <v>0</v>
      </c>
      <c r="AL8" s="36">
        <v>0</v>
      </c>
      <c r="AM8" s="36">
        <v>0</v>
      </c>
      <c r="AN8" s="36">
        <v>0</v>
      </c>
      <c r="AO8" s="36">
        <v>0</v>
      </c>
      <c r="AP8" s="36">
        <v>2</v>
      </c>
      <c r="AQ8" s="36">
        <v>1</v>
      </c>
      <c r="AR8" s="36">
        <v>0</v>
      </c>
      <c r="AS8" s="36">
        <v>0</v>
      </c>
      <c r="AT8" s="36">
        <v>0</v>
      </c>
      <c r="AU8" s="36">
        <v>0</v>
      </c>
      <c r="AV8" s="36">
        <v>0</v>
      </c>
      <c r="AW8" s="36">
        <v>0</v>
      </c>
      <c r="AX8" s="40">
        <f t="shared" si="8"/>
        <v>3</v>
      </c>
      <c r="AY8" s="36">
        <v>0</v>
      </c>
      <c r="AZ8" s="36">
        <v>0</v>
      </c>
      <c r="BA8" s="36">
        <v>0</v>
      </c>
      <c r="BB8" s="36">
        <f t="shared" si="9"/>
        <v>0</v>
      </c>
      <c r="BC8" s="36">
        <v>0</v>
      </c>
      <c r="BD8" s="36">
        <v>0</v>
      </c>
      <c r="BE8" s="36">
        <v>0</v>
      </c>
      <c r="BF8" s="36">
        <f t="shared" si="10"/>
        <v>0</v>
      </c>
      <c r="BG8" s="36">
        <v>7</v>
      </c>
      <c r="BH8" s="36">
        <v>0</v>
      </c>
      <c r="BI8" s="36">
        <v>15</v>
      </c>
      <c r="BJ8" s="36">
        <f t="shared" si="11"/>
        <v>346.5</v>
      </c>
      <c r="BK8" s="36">
        <v>7</v>
      </c>
      <c r="BL8" s="36">
        <v>0</v>
      </c>
      <c r="BM8" s="36">
        <f t="shared" si="12"/>
        <v>2940</v>
      </c>
      <c r="BN8" s="33">
        <f t="shared" si="13"/>
        <v>346.5</v>
      </c>
      <c r="BO8" s="41" t="s">
        <v>650</v>
      </c>
      <c r="BP8" s="35" t="s">
        <v>651</v>
      </c>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2"/>
      <c r="HW8" s="36"/>
      <c r="HX8" s="36"/>
    </row>
    <row r="9" spans="1:232" ht="45" customHeight="1">
      <c r="A9" s="36" t="s">
        <v>231</v>
      </c>
      <c r="B9" s="38" t="s">
        <v>239</v>
      </c>
      <c r="C9" s="2" t="s">
        <v>652</v>
      </c>
      <c r="D9" s="37">
        <v>70159374</v>
      </c>
      <c r="E9" s="36" t="s">
        <v>653</v>
      </c>
      <c r="F9" s="36">
        <v>60</v>
      </c>
      <c r="G9" s="2" t="s">
        <v>300</v>
      </c>
      <c r="H9" s="2" t="s">
        <v>654</v>
      </c>
      <c r="I9" s="36" t="s">
        <v>343</v>
      </c>
      <c r="J9" s="36" t="s">
        <v>237</v>
      </c>
      <c r="K9" s="36" t="s">
        <v>635</v>
      </c>
      <c r="L9" s="37" t="s">
        <v>607</v>
      </c>
      <c r="M9" s="36" t="s">
        <v>239</v>
      </c>
      <c r="N9" s="30" t="s">
        <v>648</v>
      </c>
      <c r="O9" s="52">
        <v>0.45208333333333334</v>
      </c>
      <c r="P9" s="28" t="s">
        <v>480</v>
      </c>
      <c r="Q9" s="36">
        <v>1487968</v>
      </c>
      <c r="R9" s="2">
        <v>52</v>
      </c>
      <c r="S9" s="2" t="s">
        <v>655</v>
      </c>
      <c r="T9" s="2"/>
      <c r="U9" s="36">
        <v>0</v>
      </c>
      <c r="V9" s="36">
        <v>0</v>
      </c>
      <c r="W9" s="36">
        <v>0</v>
      </c>
      <c r="X9" s="36">
        <v>0</v>
      </c>
      <c r="Y9" s="36">
        <v>0</v>
      </c>
      <c r="Z9" s="36">
        <v>0</v>
      </c>
      <c r="AA9" s="36">
        <v>0</v>
      </c>
      <c r="AB9" s="36">
        <v>0</v>
      </c>
      <c r="AC9" s="36">
        <v>0</v>
      </c>
      <c r="AD9" s="36">
        <v>0</v>
      </c>
      <c r="AE9" s="36">
        <v>0</v>
      </c>
      <c r="AF9" s="39">
        <f t="shared" si="7"/>
        <v>0</v>
      </c>
      <c r="AG9" s="36">
        <v>0</v>
      </c>
      <c r="AH9" s="36">
        <v>1</v>
      </c>
      <c r="AI9" s="36">
        <v>0</v>
      </c>
      <c r="AJ9" s="36">
        <v>0</v>
      </c>
      <c r="AK9" s="36">
        <v>0</v>
      </c>
      <c r="AL9" s="36">
        <v>0</v>
      </c>
      <c r="AM9" s="36">
        <v>0</v>
      </c>
      <c r="AN9" s="36">
        <v>0</v>
      </c>
      <c r="AO9" s="36">
        <v>0</v>
      </c>
      <c r="AP9" s="36">
        <v>3</v>
      </c>
      <c r="AQ9" s="36">
        <v>0</v>
      </c>
      <c r="AR9" s="36">
        <v>0</v>
      </c>
      <c r="AS9" s="36">
        <v>0</v>
      </c>
      <c r="AT9" s="36">
        <v>0</v>
      </c>
      <c r="AU9" s="36">
        <v>0</v>
      </c>
      <c r="AV9" s="36">
        <v>0</v>
      </c>
      <c r="AW9" s="36">
        <v>0</v>
      </c>
      <c r="AX9" s="40">
        <f t="shared" si="8"/>
        <v>4</v>
      </c>
      <c r="AY9" s="36">
        <v>0</v>
      </c>
      <c r="AZ9" s="36">
        <v>0</v>
      </c>
      <c r="BA9" s="36">
        <v>0</v>
      </c>
      <c r="BB9" s="36">
        <f t="shared" si="9"/>
        <v>0</v>
      </c>
      <c r="BC9" s="36">
        <v>0</v>
      </c>
      <c r="BD9" s="36">
        <v>0</v>
      </c>
      <c r="BE9" s="36">
        <v>0</v>
      </c>
      <c r="BF9" s="36">
        <f t="shared" si="10"/>
        <v>0</v>
      </c>
      <c r="BG9" s="36">
        <v>5</v>
      </c>
      <c r="BH9" s="36">
        <v>0</v>
      </c>
      <c r="BI9" s="36">
        <v>15</v>
      </c>
      <c r="BJ9" s="36">
        <f t="shared" si="11"/>
        <v>247.5</v>
      </c>
      <c r="BK9" s="36">
        <v>8</v>
      </c>
      <c r="BL9" s="36">
        <v>0</v>
      </c>
      <c r="BM9" s="36">
        <f t="shared" si="12"/>
        <v>3360</v>
      </c>
      <c r="BN9" s="33">
        <f t="shared" si="13"/>
        <v>247.5</v>
      </c>
      <c r="BO9" s="43"/>
      <c r="BP9" s="34" t="s">
        <v>656</v>
      </c>
      <c r="BQ9" s="42"/>
      <c r="BR9" s="42"/>
      <c r="BS9" s="42"/>
      <c r="BT9" s="42"/>
      <c r="BU9" s="42"/>
      <c r="BV9" s="42"/>
      <c r="BW9" s="42"/>
      <c r="BX9" s="42"/>
      <c r="BY9" s="42"/>
      <c r="BZ9" s="42"/>
      <c r="CA9" s="42"/>
      <c r="CB9" s="42"/>
      <c r="CC9" s="42"/>
      <c r="CD9" s="42"/>
      <c r="CE9" s="42"/>
      <c r="CF9" s="42"/>
      <c r="CG9" s="42"/>
      <c r="CH9" s="36"/>
      <c r="CI9" s="42"/>
      <c r="CJ9" s="42"/>
      <c r="CK9" s="42"/>
      <c r="CL9" s="42"/>
      <c r="CM9" s="42"/>
      <c r="CN9" s="42"/>
      <c r="CO9" s="42"/>
      <c r="CP9" s="42"/>
      <c r="CQ9" s="42"/>
      <c r="CR9" s="42"/>
      <c r="CS9" s="42"/>
      <c r="CT9" s="42"/>
      <c r="CU9" s="42"/>
      <c r="CV9" s="42"/>
      <c r="CW9" s="42"/>
      <c r="CX9" s="42"/>
      <c r="CY9" s="42"/>
      <c r="CZ9" s="36"/>
      <c r="DA9" s="36"/>
      <c r="DB9" s="36"/>
      <c r="DC9" s="36"/>
      <c r="DD9" s="36"/>
      <c r="DE9" s="36"/>
      <c r="DF9" s="36"/>
      <c r="DG9" s="36"/>
      <c r="DH9" s="36"/>
      <c r="DI9" s="36"/>
      <c r="DJ9" s="36"/>
      <c r="DK9" s="36"/>
      <c r="DL9" s="36"/>
      <c r="DM9" s="36"/>
      <c r="DN9" s="36"/>
      <c r="DO9" s="36"/>
      <c r="DP9" s="36"/>
      <c r="DQ9" s="42"/>
      <c r="DR9" s="42"/>
      <c r="DS9" s="42"/>
      <c r="DT9" s="42"/>
      <c r="DU9" s="42"/>
      <c r="DV9" s="42"/>
      <c r="DW9" s="42"/>
      <c r="DX9" s="42"/>
      <c r="DY9" s="42"/>
      <c r="DZ9" s="42"/>
      <c r="EA9" s="42"/>
      <c r="EB9" s="42"/>
      <c r="EC9" s="42"/>
      <c r="ED9" s="42"/>
      <c r="EE9" s="42"/>
      <c r="EF9" s="42"/>
      <c r="EG9" s="42"/>
      <c r="EH9" s="42"/>
      <c r="EI9" s="42"/>
      <c r="EJ9" s="36"/>
      <c r="EK9" s="42"/>
      <c r="EL9" s="42"/>
      <c r="EM9" s="42"/>
      <c r="EN9" s="42"/>
      <c r="EO9" s="42"/>
      <c r="EP9" s="42"/>
      <c r="EQ9" s="42"/>
      <c r="ER9" s="42"/>
      <c r="ES9" s="42"/>
      <c r="ET9" s="42"/>
      <c r="EU9" s="42"/>
      <c r="EV9" s="42"/>
      <c r="EW9" s="42"/>
      <c r="EX9" s="42"/>
      <c r="EY9" s="42"/>
      <c r="EZ9" s="42"/>
      <c r="FA9" s="42"/>
      <c r="FB9" s="36"/>
      <c r="FC9" s="42"/>
      <c r="FD9" s="42"/>
      <c r="FE9" s="42"/>
      <c r="FF9" s="36"/>
      <c r="FG9" s="42"/>
      <c r="FH9" s="42"/>
      <c r="FI9" s="42"/>
      <c r="FJ9" s="36"/>
      <c r="FK9" s="36"/>
      <c r="FL9" s="36"/>
      <c r="FM9" s="36"/>
      <c r="FN9" s="36"/>
      <c r="FO9" s="36"/>
      <c r="FP9" s="36"/>
      <c r="FQ9" s="36"/>
      <c r="FR9" s="36"/>
      <c r="FS9" s="42"/>
      <c r="FT9" s="42"/>
      <c r="FU9" s="42"/>
      <c r="FV9" s="42"/>
      <c r="FW9" s="42"/>
      <c r="FX9" s="42"/>
      <c r="FY9" s="42"/>
      <c r="FZ9" s="42"/>
      <c r="GA9" s="42"/>
      <c r="GB9" s="42"/>
      <c r="GC9" s="42"/>
      <c r="GD9" s="42"/>
      <c r="GE9" s="42"/>
      <c r="GF9" s="42"/>
      <c r="GG9" s="42"/>
      <c r="GH9" s="42"/>
      <c r="GI9" s="42"/>
      <c r="GJ9" s="42"/>
      <c r="GK9" s="42"/>
      <c r="GL9" s="36"/>
      <c r="GM9" s="42"/>
      <c r="GN9" s="42"/>
      <c r="GO9" s="42"/>
      <c r="GP9" s="42"/>
      <c r="GQ9" s="42"/>
      <c r="GR9" s="42"/>
      <c r="GS9" s="42"/>
      <c r="GT9" s="42"/>
      <c r="GU9" s="42"/>
      <c r="GV9" s="42"/>
      <c r="GW9" s="42"/>
      <c r="GX9" s="42"/>
      <c r="GY9" s="42"/>
      <c r="GZ9" s="42"/>
      <c r="HA9" s="42"/>
      <c r="HB9" s="42"/>
      <c r="HC9" s="42"/>
      <c r="HD9" s="36"/>
      <c r="HE9" s="42"/>
      <c r="HF9" s="42"/>
      <c r="HG9" s="42"/>
      <c r="HH9" s="36"/>
      <c r="HI9" s="42"/>
      <c r="HJ9" s="42"/>
      <c r="HK9" s="42"/>
      <c r="HL9" s="36"/>
      <c r="HM9" s="42"/>
      <c r="HN9" s="42"/>
      <c r="HO9" s="42"/>
      <c r="HP9" s="36"/>
      <c r="HQ9" s="42"/>
      <c r="HR9" s="42"/>
      <c r="HS9" s="36"/>
      <c r="HT9" s="36"/>
      <c r="HU9" s="42"/>
      <c r="HV9" s="2"/>
      <c r="HW9" s="64"/>
      <c r="HX9" s="36"/>
    </row>
    <row r="10" spans="1:232" ht="45" customHeight="1">
      <c r="A10" s="36" t="s">
        <v>231</v>
      </c>
      <c r="B10" s="38" t="s">
        <v>239</v>
      </c>
      <c r="C10" s="2" t="s">
        <v>657</v>
      </c>
      <c r="D10" s="37">
        <v>4423703</v>
      </c>
      <c r="E10" s="36" t="s">
        <v>658</v>
      </c>
      <c r="F10" s="36">
        <v>23</v>
      </c>
      <c r="G10" s="2" t="s">
        <v>235</v>
      </c>
      <c r="H10" s="2" t="s">
        <v>659</v>
      </c>
      <c r="I10" s="36" t="s">
        <v>343</v>
      </c>
      <c r="J10" s="36" t="s">
        <v>237</v>
      </c>
      <c r="K10" s="2" t="s">
        <v>660</v>
      </c>
      <c r="L10" s="37" t="s">
        <v>607</v>
      </c>
      <c r="M10" s="36" t="s">
        <v>239</v>
      </c>
      <c r="N10" s="30" t="s">
        <v>661</v>
      </c>
      <c r="O10" s="52">
        <v>0.45833333333333331</v>
      </c>
      <c r="P10" s="6" t="s">
        <v>576</v>
      </c>
      <c r="Q10" s="36">
        <v>1498586</v>
      </c>
      <c r="R10" s="2">
        <v>43</v>
      </c>
      <c r="S10" s="2" t="s">
        <v>662</v>
      </c>
      <c r="T10" s="2"/>
      <c r="U10" s="36">
        <v>0</v>
      </c>
      <c r="V10" s="36">
        <v>0</v>
      </c>
      <c r="W10" s="36">
        <v>0</v>
      </c>
      <c r="X10" s="36">
        <v>0</v>
      </c>
      <c r="Y10" s="36">
        <v>0</v>
      </c>
      <c r="Z10" s="36">
        <v>0</v>
      </c>
      <c r="AA10" s="36">
        <v>0</v>
      </c>
      <c r="AB10" s="36">
        <v>0</v>
      </c>
      <c r="AC10" s="36">
        <v>0</v>
      </c>
      <c r="AD10" s="36">
        <v>0</v>
      </c>
      <c r="AE10" s="36">
        <v>0</v>
      </c>
      <c r="AF10" s="39">
        <f t="shared" si="7"/>
        <v>0</v>
      </c>
      <c r="AG10" s="132">
        <v>0</v>
      </c>
      <c r="AH10" s="132">
        <v>0</v>
      </c>
      <c r="AI10" s="132">
        <v>0</v>
      </c>
      <c r="AJ10" s="132">
        <v>0</v>
      </c>
      <c r="AK10" s="132">
        <v>0</v>
      </c>
      <c r="AL10" s="132">
        <v>0</v>
      </c>
      <c r="AM10" s="132">
        <v>0</v>
      </c>
      <c r="AN10" s="132">
        <v>0</v>
      </c>
      <c r="AO10" s="132">
        <v>0</v>
      </c>
      <c r="AP10" s="132">
        <v>0</v>
      </c>
      <c r="AQ10" s="132">
        <v>0</v>
      </c>
      <c r="AR10" s="132">
        <v>0</v>
      </c>
      <c r="AS10" s="132">
        <v>0</v>
      </c>
      <c r="AT10" s="132">
        <v>0</v>
      </c>
      <c r="AU10" s="132">
        <v>0</v>
      </c>
      <c r="AV10" s="132">
        <v>0</v>
      </c>
      <c r="AW10" s="132">
        <v>0</v>
      </c>
      <c r="AX10" s="40">
        <f t="shared" si="8"/>
        <v>0</v>
      </c>
      <c r="AY10" s="36">
        <v>3</v>
      </c>
      <c r="AZ10" s="36">
        <v>0</v>
      </c>
      <c r="BA10" s="36">
        <v>30</v>
      </c>
      <c r="BB10" s="36">
        <f t="shared" si="9"/>
        <v>720</v>
      </c>
      <c r="BC10" s="36">
        <v>3</v>
      </c>
      <c r="BD10" s="36">
        <v>0</v>
      </c>
      <c r="BE10" s="36">
        <v>30</v>
      </c>
      <c r="BF10" s="36">
        <f t="shared" si="10"/>
        <v>360</v>
      </c>
      <c r="BG10" s="36">
        <v>7</v>
      </c>
      <c r="BH10" s="36">
        <v>0</v>
      </c>
      <c r="BI10" s="36">
        <v>40</v>
      </c>
      <c r="BJ10" s="36">
        <f t="shared" si="11"/>
        <v>924</v>
      </c>
      <c r="BK10" s="36">
        <v>2</v>
      </c>
      <c r="BL10" s="36">
        <v>30</v>
      </c>
      <c r="BM10" s="36">
        <f t="shared" si="12"/>
        <v>1050</v>
      </c>
      <c r="BN10" s="33">
        <f t="shared" si="13"/>
        <v>2004</v>
      </c>
      <c r="BO10" s="33" t="s">
        <v>239</v>
      </c>
      <c r="BP10" s="35" t="s">
        <v>663</v>
      </c>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2"/>
      <c r="HW10" s="36"/>
      <c r="HX10" s="36"/>
    </row>
    <row r="11" spans="1:232" s="6" customFormat="1" ht="45" customHeight="1">
      <c r="A11" s="36" t="s">
        <v>231</v>
      </c>
      <c r="B11" s="30" t="s">
        <v>239</v>
      </c>
      <c r="C11" s="36" t="s">
        <v>664</v>
      </c>
      <c r="D11" s="37">
        <v>70170404</v>
      </c>
      <c r="E11" s="36" t="s">
        <v>665</v>
      </c>
      <c r="F11" s="36">
        <v>52</v>
      </c>
      <c r="G11" s="36" t="s">
        <v>300</v>
      </c>
      <c r="H11" s="2" t="s">
        <v>666</v>
      </c>
      <c r="I11" s="36" t="s">
        <v>343</v>
      </c>
      <c r="J11" s="36" t="s">
        <v>237</v>
      </c>
      <c r="K11" s="2" t="s">
        <v>667</v>
      </c>
      <c r="L11" s="37" t="s">
        <v>607</v>
      </c>
      <c r="M11" s="36" t="s">
        <v>668</v>
      </c>
      <c r="N11" s="30" t="s">
        <v>661</v>
      </c>
      <c r="O11" s="52">
        <v>0.5</v>
      </c>
      <c r="P11" s="6" t="s">
        <v>524</v>
      </c>
      <c r="Q11" s="36">
        <v>1498669</v>
      </c>
      <c r="R11" s="36">
        <v>53</v>
      </c>
      <c r="S11" s="2" t="s">
        <v>669</v>
      </c>
      <c r="T11" s="36"/>
      <c r="U11" s="36">
        <v>0</v>
      </c>
      <c r="V11" s="36">
        <v>1</v>
      </c>
      <c r="W11" s="36">
        <v>0</v>
      </c>
      <c r="X11" s="36">
        <v>0</v>
      </c>
      <c r="Y11" s="36">
        <v>2</v>
      </c>
      <c r="Z11" s="36">
        <v>0</v>
      </c>
      <c r="AA11" s="36">
        <v>0</v>
      </c>
      <c r="AB11" s="36">
        <v>0</v>
      </c>
      <c r="AC11" s="36">
        <v>0</v>
      </c>
      <c r="AD11" s="36">
        <v>0</v>
      </c>
      <c r="AE11" s="36">
        <v>0</v>
      </c>
      <c r="AF11" s="39">
        <f t="shared" si="7"/>
        <v>3</v>
      </c>
      <c r="AG11" s="36">
        <v>1</v>
      </c>
      <c r="AH11" s="36">
        <v>0</v>
      </c>
      <c r="AI11" s="36">
        <v>0</v>
      </c>
      <c r="AJ11" s="36">
        <v>0</v>
      </c>
      <c r="AK11" s="36">
        <v>0</v>
      </c>
      <c r="AL11" s="36">
        <v>0</v>
      </c>
      <c r="AM11" s="36">
        <v>0</v>
      </c>
      <c r="AN11" s="36">
        <v>0</v>
      </c>
      <c r="AO11" s="36">
        <v>0</v>
      </c>
      <c r="AP11" s="36">
        <v>0</v>
      </c>
      <c r="AQ11" s="36">
        <v>0</v>
      </c>
      <c r="AR11" s="36">
        <v>0</v>
      </c>
      <c r="AS11" s="36">
        <v>3</v>
      </c>
      <c r="AT11" s="36">
        <v>0</v>
      </c>
      <c r="AU11" s="36">
        <v>0</v>
      </c>
      <c r="AV11" s="36">
        <v>0</v>
      </c>
      <c r="AW11" s="36">
        <v>0</v>
      </c>
      <c r="AX11" s="40">
        <f t="shared" si="8"/>
        <v>4</v>
      </c>
      <c r="AY11" s="36">
        <v>2</v>
      </c>
      <c r="AZ11" s="36">
        <v>1</v>
      </c>
      <c r="BA11" s="36">
        <v>0</v>
      </c>
      <c r="BB11" s="36">
        <f t="shared" si="9"/>
        <v>960</v>
      </c>
      <c r="BC11" s="36">
        <v>0</v>
      </c>
      <c r="BD11" s="36">
        <v>0</v>
      </c>
      <c r="BE11" s="36">
        <v>0</v>
      </c>
      <c r="BF11" s="36">
        <f t="shared" si="10"/>
        <v>0</v>
      </c>
      <c r="BG11" s="36">
        <v>7</v>
      </c>
      <c r="BH11" s="36">
        <v>0</v>
      </c>
      <c r="BI11" s="36">
        <v>20</v>
      </c>
      <c r="BJ11" s="36">
        <f t="shared" si="11"/>
        <v>462</v>
      </c>
      <c r="BK11" s="36">
        <v>10</v>
      </c>
      <c r="BL11" s="36">
        <v>0</v>
      </c>
      <c r="BM11" s="36">
        <f t="shared" si="12"/>
        <v>4200</v>
      </c>
      <c r="BN11" s="33">
        <f t="shared" si="13"/>
        <v>1422</v>
      </c>
      <c r="BO11" s="33" t="s">
        <v>670</v>
      </c>
      <c r="BP11" s="35" t="s">
        <v>671</v>
      </c>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36"/>
      <c r="EM11" s="36"/>
      <c r="EN11" s="36"/>
      <c r="EO11" s="36"/>
      <c r="EP11" s="36"/>
      <c r="EQ11" s="36"/>
      <c r="ER11" s="36"/>
      <c r="ES11" s="36"/>
      <c r="ET11" s="36"/>
      <c r="EU11" s="36"/>
      <c r="EV11" s="36"/>
      <c r="EW11" s="36"/>
      <c r="EX11" s="36"/>
      <c r="EY11" s="36"/>
      <c r="EZ11" s="36"/>
      <c r="FA11" s="36"/>
      <c r="FB11" s="36"/>
      <c r="FC11" s="36"/>
      <c r="FD11" s="36"/>
      <c r="FE11" s="36"/>
      <c r="FF11" s="36"/>
      <c r="FG11" s="36"/>
      <c r="FH11" s="36"/>
      <c r="FI11" s="36"/>
      <c r="FJ11" s="36"/>
      <c r="FK11" s="36"/>
      <c r="FL11" s="36"/>
      <c r="FM11" s="36"/>
      <c r="FN11" s="36"/>
      <c r="FO11" s="36"/>
      <c r="FP11" s="36"/>
      <c r="FQ11" s="36"/>
      <c r="FR11" s="36"/>
      <c r="FS11" s="36"/>
      <c r="FT11" s="36"/>
      <c r="FU11" s="36"/>
      <c r="FV11" s="36"/>
      <c r="FW11" s="36"/>
      <c r="FX11" s="36"/>
      <c r="FY11" s="36"/>
      <c r="FZ11" s="36"/>
      <c r="GA11" s="36"/>
      <c r="GB11" s="36"/>
      <c r="GC11" s="36"/>
      <c r="GD11" s="36"/>
      <c r="GE11" s="36"/>
      <c r="GF11" s="36"/>
      <c r="GG11" s="36"/>
      <c r="GH11" s="36"/>
      <c r="GI11" s="36"/>
      <c r="GJ11" s="36"/>
      <c r="GK11" s="36"/>
      <c r="GL11" s="36"/>
      <c r="GM11" s="36"/>
      <c r="GN11" s="36"/>
      <c r="GO11" s="36"/>
      <c r="GP11" s="36"/>
      <c r="GQ11" s="36"/>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2"/>
      <c r="HW11" s="36"/>
      <c r="HX11" s="36"/>
    </row>
    <row r="12" spans="1:232" ht="45" customHeight="1">
      <c r="A12" s="36"/>
      <c r="B12" s="38"/>
      <c r="C12" s="2"/>
      <c r="D12" s="37"/>
      <c r="E12" s="36"/>
      <c r="F12" s="36"/>
      <c r="G12" s="2"/>
      <c r="H12" s="36"/>
      <c r="I12" s="36"/>
      <c r="J12" s="36"/>
      <c r="K12" s="36"/>
      <c r="L12" s="29"/>
      <c r="M12" s="36"/>
      <c r="N12" s="30"/>
      <c r="O12" s="36"/>
      <c r="P12" s="2"/>
      <c r="Q12" s="36"/>
      <c r="R12" s="2"/>
      <c r="S12" s="2"/>
      <c r="T12" s="2"/>
      <c r="U12" s="36"/>
      <c r="V12" s="36"/>
      <c r="W12" s="36"/>
      <c r="X12" s="36"/>
      <c r="Y12" s="36"/>
      <c r="Z12" s="36"/>
      <c r="AA12" s="36"/>
      <c r="AB12" s="36"/>
      <c r="AC12" s="36"/>
      <c r="AD12" s="36"/>
      <c r="AE12" s="36"/>
      <c r="AF12" s="39"/>
      <c r="AG12" s="36"/>
      <c r="AH12" s="36"/>
      <c r="AI12" s="36"/>
      <c r="AJ12" s="36"/>
      <c r="AK12" s="36"/>
      <c r="AL12" s="36"/>
      <c r="AM12" s="36"/>
      <c r="AN12" s="36"/>
      <c r="AO12" s="36"/>
      <c r="AP12" s="36"/>
      <c r="AQ12" s="36"/>
      <c r="AR12" s="36"/>
      <c r="AS12" s="36"/>
      <c r="AT12" s="36"/>
      <c r="AU12" s="36"/>
      <c r="AV12" s="36"/>
      <c r="AW12" s="36"/>
      <c r="AX12" s="40">
        <f t="shared" si="8"/>
        <v>0</v>
      </c>
      <c r="AY12" s="36"/>
      <c r="AZ12" s="36"/>
      <c r="BA12" s="36"/>
      <c r="BB12" s="36">
        <f t="shared" si="9"/>
        <v>0</v>
      </c>
      <c r="BC12" s="36"/>
      <c r="BD12" s="36"/>
      <c r="BE12" s="36"/>
      <c r="BF12" s="36">
        <f t="shared" si="10"/>
        <v>0</v>
      </c>
      <c r="BG12" s="36"/>
      <c r="BH12" s="36"/>
      <c r="BI12" s="36"/>
      <c r="BJ12" s="36">
        <f t="shared" si="11"/>
        <v>0</v>
      </c>
      <c r="BK12" s="36"/>
      <c r="BL12" s="36"/>
      <c r="BM12" s="36">
        <f t="shared" si="12"/>
        <v>0</v>
      </c>
      <c r="BN12" s="33"/>
      <c r="BO12" s="41"/>
      <c r="BP12" s="35"/>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2"/>
      <c r="HW12" s="36"/>
      <c r="HX12" s="36"/>
    </row>
    <row r="13" spans="1:232" ht="45" customHeight="1">
      <c r="A13" s="36"/>
      <c r="B13" s="38"/>
      <c r="C13" s="36"/>
      <c r="D13" s="37"/>
      <c r="E13" s="36"/>
      <c r="F13" s="36"/>
      <c r="G13" s="2"/>
      <c r="H13" s="36"/>
      <c r="I13" s="36"/>
      <c r="J13" s="36"/>
      <c r="K13" s="36"/>
      <c r="L13" s="29"/>
      <c r="M13" s="36"/>
      <c r="N13" s="30"/>
      <c r="O13" s="36"/>
      <c r="P13" s="2"/>
      <c r="Q13" s="36"/>
      <c r="R13" s="2"/>
      <c r="S13" s="2"/>
      <c r="T13" s="2"/>
      <c r="U13" s="36"/>
      <c r="V13" s="36"/>
      <c r="W13" s="36"/>
      <c r="X13" s="36"/>
      <c r="Y13" s="36"/>
      <c r="Z13" s="36"/>
      <c r="AA13" s="36"/>
      <c r="AB13" s="36"/>
      <c r="AC13" s="36"/>
      <c r="AD13" s="36"/>
      <c r="AE13" s="36"/>
      <c r="AF13" s="39"/>
      <c r="AG13" s="36"/>
      <c r="AH13" s="36"/>
      <c r="AI13" s="36"/>
      <c r="AJ13" s="36"/>
      <c r="AK13" s="36"/>
      <c r="AL13" s="36"/>
      <c r="AM13" s="36"/>
      <c r="AN13" s="36"/>
      <c r="AO13" s="36"/>
      <c r="AP13" s="36"/>
      <c r="AQ13" s="36"/>
      <c r="AR13" s="36"/>
      <c r="AS13" s="36"/>
      <c r="AT13" s="36"/>
      <c r="AU13" s="36"/>
      <c r="AV13" s="36"/>
      <c r="AW13" s="36"/>
      <c r="AX13" s="40">
        <f t="shared" si="8"/>
        <v>0</v>
      </c>
      <c r="AY13" s="36"/>
      <c r="AZ13" s="36"/>
      <c r="BA13" s="36"/>
      <c r="BB13" s="36">
        <f t="shared" si="9"/>
        <v>0</v>
      </c>
      <c r="BC13" s="36"/>
      <c r="BD13" s="36"/>
      <c r="BE13" s="36"/>
      <c r="BF13" s="36">
        <f t="shared" si="10"/>
        <v>0</v>
      </c>
      <c r="BG13" s="36"/>
      <c r="BH13" s="36"/>
      <c r="BI13" s="36"/>
      <c r="BJ13" s="36">
        <f t="shared" si="11"/>
        <v>0</v>
      </c>
      <c r="BK13" s="36"/>
      <c r="BL13" s="36"/>
      <c r="BM13" s="36"/>
      <c r="BN13" s="33"/>
      <c r="BO13" s="41"/>
      <c r="BP13" s="35"/>
      <c r="BQ13" s="42"/>
      <c r="BR13" s="42"/>
      <c r="BS13" s="42"/>
      <c r="BT13" s="42"/>
      <c r="BU13" s="42"/>
      <c r="BV13" s="42"/>
      <c r="BW13" s="42"/>
      <c r="BX13" s="42"/>
      <c r="BY13" s="42"/>
      <c r="BZ13" s="42"/>
      <c r="CA13" s="42"/>
      <c r="CB13" s="42"/>
      <c r="CC13" s="42"/>
      <c r="CD13" s="42"/>
      <c r="CE13" s="42"/>
      <c r="CF13" s="42"/>
      <c r="CG13" s="42"/>
      <c r="CH13" s="36"/>
      <c r="CI13" s="42"/>
      <c r="CJ13" s="42"/>
      <c r="CK13" s="42"/>
      <c r="CL13" s="42"/>
      <c r="CM13" s="42"/>
      <c r="CN13" s="42"/>
      <c r="CO13" s="42"/>
      <c r="CP13" s="42"/>
      <c r="CQ13" s="42"/>
      <c r="CR13" s="42"/>
      <c r="CS13" s="42"/>
      <c r="CT13" s="42"/>
      <c r="CU13" s="42"/>
      <c r="CV13" s="42"/>
      <c r="CW13" s="42"/>
      <c r="CX13" s="42"/>
      <c r="CY13" s="42"/>
      <c r="CZ13" s="36"/>
      <c r="DA13" s="36"/>
      <c r="DB13" s="36"/>
      <c r="DC13" s="36"/>
      <c r="DD13" s="36"/>
      <c r="DE13" s="36"/>
      <c r="DF13" s="36"/>
      <c r="DG13" s="36"/>
      <c r="DH13" s="36"/>
      <c r="DI13" s="36"/>
      <c r="DJ13" s="36"/>
      <c r="DK13" s="36"/>
      <c r="DL13" s="36"/>
      <c r="DM13" s="36"/>
      <c r="DN13" s="36"/>
      <c r="DO13" s="36"/>
      <c r="DP13" s="36"/>
      <c r="DQ13" s="42"/>
      <c r="DR13" s="42"/>
      <c r="DS13" s="42"/>
      <c r="DT13" s="42"/>
      <c r="DU13" s="42"/>
      <c r="DV13" s="42"/>
      <c r="DW13" s="42"/>
      <c r="DX13" s="42"/>
      <c r="DY13" s="42"/>
      <c r="DZ13" s="42"/>
      <c r="EA13" s="42"/>
      <c r="EB13" s="42"/>
      <c r="EC13" s="42"/>
      <c r="ED13" s="42"/>
      <c r="EE13" s="42"/>
      <c r="EF13" s="42"/>
      <c r="EG13" s="42"/>
      <c r="EH13" s="42"/>
      <c r="EI13" s="42"/>
      <c r="EJ13" s="36"/>
      <c r="EK13" s="42"/>
      <c r="EL13" s="42"/>
      <c r="EM13" s="42"/>
      <c r="EN13" s="42"/>
      <c r="EO13" s="42"/>
      <c r="EP13" s="42"/>
      <c r="EQ13" s="42"/>
      <c r="ER13" s="42"/>
      <c r="ES13" s="42"/>
      <c r="ET13" s="42"/>
      <c r="EU13" s="42"/>
      <c r="EV13" s="42"/>
      <c r="EW13" s="42"/>
      <c r="EX13" s="42"/>
      <c r="EY13" s="42"/>
      <c r="EZ13" s="42"/>
      <c r="FA13" s="42"/>
      <c r="FB13" s="36"/>
      <c r="FC13" s="42"/>
      <c r="FD13" s="42"/>
      <c r="FE13" s="42"/>
      <c r="FF13" s="36"/>
      <c r="FG13" s="42"/>
      <c r="FH13" s="42"/>
      <c r="FI13" s="42"/>
      <c r="FJ13" s="36"/>
      <c r="FK13" s="36"/>
      <c r="FL13" s="36"/>
      <c r="FM13" s="36"/>
      <c r="FN13" s="36"/>
      <c r="FO13" s="36"/>
      <c r="FP13" s="36"/>
      <c r="FQ13" s="36"/>
      <c r="FR13" s="36"/>
      <c r="FS13" s="42"/>
      <c r="FT13" s="42"/>
      <c r="FU13" s="42"/>
      <c r="FV13" s="42"/>
      <c r="FW13" s="42"/>
      <c r="FX13" s="42"/>
      <c r="FY13" s="42"/>
      <c r="FZ13" s="42"/>
      <c r="GA13" s="42"/>
      <c r="GB13" s="42"/>
      <c r="GC13" s="42"/>
      <c r="GD13" s="42"/>
      <c r="GE13" s="42"/>
      <c r="GF13" s="42"/>
      <c r="GG13" s="42"/>
      <c r="GH13" s="42"/>
      <c r="GI13" s="42"/>
      <c r="GJ13" s="42"/>
      <c r="GK13" s="42"/>
      <c r="GL13" s="36"/>
      <c r="GM13" s="42"/>
      <c r="GN13" s="42"/>
      <c r="GO13" s="42"/>
      <c r="GP13" s="42"/>
      <c r="GQ13" s="42"/>
      <c r="GR13" s="42"/>
      <c r="GS13" s="42"/>
      <c r="GT13" s="42"/>
      <c r="GU13" s="42"/>
      <c r="GV13" s="42"/>
      <c r="GW13" s="42"/>
      <c r="GX13" s="42"/>
      <c r="GY13" s="42"/>
      <c r="GZ13" s="42"/>
      <c r="HA13" s="42"/>
      <c r="HB13" s="42"/>
      <c r="HC13" s="42"/>
      <c r="HD13" s="36"/>
      <c r="HE13" s="42"/>
      <c r="HF13" s="42"/>
      <c r="HG13" s="42"/>
      <c r="HH13" s="36"/>
      <c r="HI13" s="42"/>
      <c r="HJ13" s="42"/>
      <c r="HK13" s="42"/>
      <c r="HL13" s="36"/>
      <c r="HM13" s="42"/>
      <c r="HN13" s="42"/>
      <c r="HO13" s="42"/>
      <c r="HP13" s="36"/>
      <c r="HQ13" s="42"/>
      <c r="HR13" s="42"/>
      <c r="HS13" s="36"/>
      <c r="HT13" s="36"/>
      <c r="HU13" s="42"/>
      <c r="HV13" s="2"/>
      <c r="HW13" s="64"/>
      <c r="HX13" s="36"/>
    </row>
    <row r="14" spans="1:232" ht="45" customHeight="1">
      <c r="A14" s="36"/>
      <c r="B14" s="38"/>
      <c r="C14" s="36"/>
      <c r="D14" s="37"/>
      <c r="E14" s="36"/>
      <c r="F14" s="36"/>
      <c r="G14" s="2"/>
      <c r="H14" s="36"/>
      <c r="I14" s="36"/>
      <c r="J14" s="36"/>
      <c r="K14" s="36"/>
      <c r="L14" s="29"/>
      <c r="M14" s="36"/>
      <c r="N14" s="30"/>
      <c r="O14" s="36"/>
      <c r="P14" s="2"/>
      <c r="Q14" s="36"/>
      <c r="R14" s="2"/>
      <c r="S14" s="2"/>
      <c r="T14" s="2"/>
      <c r="U14" s="36"/>
      <c r="V14" s="36"/>
      <c r="W14" s="36"/>
      <c r="X14" s="36"/>
      <c r="Y14" s="36"/>
      <c r="Z14" s="36"/>
      <c r="AA14" s="36"/>
      <c r="AB14" s="36"/>
      <c r="AC14" s="36"/>
      <c r="AD14" s="36"/>
      <c r="AE14" s="36"/>
      <c r="AF14" s="39"/>
      <c r="AG14" s="36"/>
      <c r="AH14" s="36"/>
      <c r="AI14" s="36"/>
      <c r="AJ14" s="36"/>
      <c r="AK14" s="36"/>
      <c r="AL14" s="36"/>
      <c r="AM14" s="36"/>
      <c r="AN14" s="36"/>
      <c r="AO14" s="36"/>
      <c r="AP14" s="36"/>
      <c r="AQ14" s="36"/>
      <c r="AR14" s="36"/>
      <c r="AS14" s="36"/>
      <c r="AT14" s="36"/>
      <c r="AU14" s="36"/>
      <c r="AV14" s="36"/>
      <c r="AW14" s="36"/>
      <c r="AX14" s="40"/>
      <c r="AY14" s="36"/>
      <c r="AZ14" s="36"/>
      <c r="BA14" s="36"/>
      <c r="BB14" s="36">
        <f t="shared" si="9"/>
        <v>0</v>
      </c>
      <c r="BC14" s="36"/>
      <c r="BD14" s="36"/>
      <c r="BE14" s="36"/>
      <c r="BF14" s="36"/>
      <c r="BG14" s="36"/>
      <c r="BH14" s="36"/>
      <c r="BI14" s="36"/>
      <c r="BJ14" s="36"/>
      <c r="BK14" s="36"/>
      <c r="BL14" s="36"/>
      <c r="BM14" s="36"/>
      <c r="BN14" s="33"/>
      <c r="BO14" s="41"/>
      <c r="BP14" s="35"/>
      <c r="BQ14" s="42"/>
      <c r="BR14" s="42"/>
      <c r="BS14" s="42"/>
      <c r="BT14" s="42"/>
      <c r="BU14" s="42"/>
      <c r="BV14" s="42"/>
      <c r="BW14" s="42"/>
      <c r="BX14" s="42"/>
      <c r="BY14" s="42"/>
      <c r="BZ14" s="42"/>
      <c r="CA14" s="42"/>
      <c r="CB14" s="42"/>
      <c r="CC14" s="42"/>
      <c r="CD14" s="42"/>
      <c r="CE14" s="42"/>
      <c r="CF14" s="42"/>
      <c r="CG14" s="42"/>
      <c r="CH14" s="36"/>
      <c r="CI14" s="42"/>
      <c r="CJ14" s="42"/>
      <c r="CK14" s="42"/>
      <c r="CL14" s="42"/>
      <c r="CM14" s="42"/>
      <c r="CN14" s="42"/>
      <c r="CO14" s="42"/>
      <c r="CP14" s="42"/>
      <c r="CQ14" s="42"/>
      <c r="CR14" s="42"/>
      <c r="CS14" s="42"/>
      <c r="CT14" s="42"/>
      <c r="CU14" s="42"/>
      <c r="CV14" s="42"/>
      <c r="CW14" s="42"/>
      <c r="CX14" s="42"/>
      <c r="CY14" s="42"/>
      <c r="CZ14" s="36"/>
      <c r="DA14" s="36"/>
      <c r="DB14" s="36"/>
      <c r="DC14" s="36"/>
      <c r="DD14" s="36"/>
      <c r="DE14" s="36"/>
      <c r="DF14" s="36"/>
      <c r="DG14" s="36"/>
      <c r="DH14" s="36"/>
      <c r="DI14" s="36"/>
      <c r="DJ14" s="36"/>
      <c r="DK14" s="36"/>
      <c r="DL14" s="36"/>
      <c r="DM14" s="36"/>
      <c r="DN14" s="36"/>
      <c r="DO14" s="36"/>
      <c r="DP14" s="36"/>
      <c r="DQ14" s="42"/>
      <c r="DR14" s="42"/>
      <c r="DS14" s="42"/>
      <c r="DT14" s="42"/>
      <c r="DU14" s="42"/>
      <c r="DV14" s="42"/>
      <c r="DW14" s="42"/>
      <c r="DX14" s="42"/>
      <c r="DY14" s="42"/>
      <c r="DZ14" s="42"/>
      <c r="EA14" s="42"/>
      <c r="EB14" s="42"/>
      <c r="EC14" s="42"/>
      <c r="ED14" s="42"/>
      <c r="EE14" s="42"/>
      <c r="EF14" s="42"/>
      <c r="EG14" s="42"/>
      <c r="EH14" s="42"/>
      <c r="EI14" s="42"/>
      <c r="EJ14" s="36"/>
      <c r="EK14" s="42"/>
      <c r="EL14" s="42"/>
      <c r="EM14" s="42"/>
      <c r="EN14" s="42"/>
      <c r="EO14" s="42"/>
      <c r="EP14" s="42"/>
      <c r="EQ14" s="42"/>
      <c r="ER14" s="42"/>
      <c r="ES14" s="42"/>
      <c r="ET14" s="42"/>
      <c r="EU14" s="42"/>
      <c r="EV14" s="42"/>
      <c r="EW14" s="42"/>
      <c r="EX14" s="42"/>
      <c r="EY14" s="42"/>
      <c r="EZ14" s="42"/>
      <c r="FA14" s="42"/>
      <c r="FB14" s="36"/>
      <c r="FC14" s="42"/>
      <c r="FD14" s="42"/>
      <c r="FE14" s="42"/>
      <c r="FF14" s="36"/>
      <c r="FG14" s="42"/>
      <c r="FH14" s="42"/>
      <c r="FI14" s="42"/>
      <c r="FJ14" s="36"/>
      <c r="FK14" s="36"/>
      <c r="FL14" s="36"/>
      <c r="FM14" s="36"/>
      <c r="FN14" s="36"/>
      <c r="FO14" s="36"/>
      <c r="FP14" s="36"/>
      <c r="FQ14" s="36"/>
      <c r="FR14" s="36"/>
      <c r="FS14" s="42"/>
      <c r="FT14" s="42"/>
      <c r="FU14" s="42"/>
      <c r="FV14" s="42"/>
      <c r="FW14" s="42"/>
      <c r="FX14" s="42"/>
      <c r="FY14" s="42"/>
      <c r="FZ14" s="42"/>
      <c r="GA14" s="42"/>
      <c r="GB14" s="42"/>
      <c r="GC14" s="42"/>
      <c r="GD14" s="42"/>
      <c r="GE14" s="42"/>
      <c r="GF14" s="42"/>
      <c r="GG14" s="42"/>
      <c r="GH14" s="42"/>
      <c r="GI14" s="42"/>
      <c r="GJ14" s="42"/>
      <c r="GK14" s="42"/>
      <c r="GL14" s="36"/>
      <c r="GM14" s="42"/>
      <c r="GN14" s="42"/>
      <c r="GO14" s="42"/>
      <c r="GP14" s="42"/>
      <c r="GQ14" s="42"/>
      <c r="GR14" s="42"/>
      <c r="GS14" s="42"/>
      <c r="GT14" s="42"/>
      <c r="GU14" s="42"/>
      <c r="GV14" s="42"/>
      <c r="GW14" s="42"/>
      <c r="GX14" s="42"/>
      <c r="GY14" s="42"/>
      <c r="GZ14" s="42"/>
      <c r="HA14" s="42"/>
      <c r="HB14" s="42"/>
      <c r="HC14" s="42"/>
      <c r="HD14" s="36"/>
      <c r="HE14" s="42"/>
      <c r="HF14" s="42"/>
      <c r="HG14" s="42"/>
      <c r="HH14" s="36"/>
      <c r="HI14" s="42"/>
      <c r="HJ14" s="42"/>
      <c r="HK14" s="42"/>
      <c r="HL14" s="36"/>
      <c r="HM14" s="42"/>
      <c r="HN14" s="42"/>
      <c r="HO14" s="42"/>
      <c r="HP14" s="36"/>
      <c r="HQ14" s="42"/>
      <c r="HR14" s="42"/>
      <c r="HS14" s="36"/>
      <c r="HT14" s="36"/>
      <c r="HU14" s="42"/>
      <c r="HV14" s="2"/>
      <c r="HW14" s="64"/>
      <c r="HX14" s="36"/>
    </row>
    <row r="15" spans="1:232" ht="45" customHeight="1">
      <c r="A15" s="36"/>
      <c r="B15" s="38"/>
      <c r="C15" s="2"/>
      <c r="D15" s="37"/>
      <c r="E15" s="36"/>
      <c r="F15" s="36"/>
      <c r="G15" s="36"/>
      <c r="H15" s="36"/>
      <c r="I15" s="36"/>
      <c r="J15" s="36"/>
      <c r="K15" s="2"/>
      <c r="L15" s="37"/>
      <c r="M15" s="2"/>
      <c r="N15" s="30"/>
      <c r="O15" s="52"/>
      <c r="P15" s="36"/>
      <c r="Q15" s="53"/>
      <c r="R15" s="2"/>
      <c r="S15" s="2"/>
      <c r="T15" s="2"/>
      <c r="U15" s="36"/>
      <c r="V15" s="36"/>
      <c r="W15" s="36"/>
      <c r="X15" s="36"/>
      <c r="Y15" s="36"/>
      <c r="Z15" s="36"/>
      <c r="AA15" s="36"/>
      <c r="AB15" s="36"/>
      <c r="AC15" s="36"/>
      <c r="AD15" s="36"/>
      <c r="AE15" s="36"/>
      <c r="AF15" s="39"/>
      <c r="AG15" s="36"/>
      <c r="AH15" s="36"/>
      <c r="AI15" s="36"/>
      <c r="AJ15" s="36"/>
      <c r="AK15" s="36"/>
      <c r="AL15" s="36"/>
      <c r="AM15" s="36"/>
      <c r="AN15" s="36"/>
      <c r="AO15" s="36"/>
      <c r="AP15" s="36"/>
      <c r="AQ15" s="36"/>
      <c r="AR15" s="36"/>
      <c r="AS15" s="36"/>
      <c r="AT15" s="36"/>
      <c r="AU15" s="36"/>
      <c r="AV15" s="36"/>
      <c r="AW15" s="36"/>
      <c r="AX15" s="40"/>
      <c r="AY15" s="36"/>
      <c r="AZ15" s="36"/>
      <c r="BA15" s="36"/>
      <c r="BB15" s="36">
        <f t="shared" si="9"/>
        <v>0</v>
      </c>
      <c r="BC15" s="36"/>
      <c r="BD15" s="36"/>
      <c r="BE15" s="36"/>
      <c r="BF15" s="36"/>
      <c r="BG15" s="36"/>
      <c r="BH15" s="36"/>
      <c r="BI15" s="36"/>
      <c r="BJ15" s="36"/>
      <c r="BK15" s="36"/>
      <c r="BL15" s="36"/>
      <c r="BM15" s="36"/>
      <c r="BN15" s="33"/>
      <c r="BO15" s="33"/>
      <c r="BP15" s="34"/>
      <c r="BQ15" s="36"/>
      <c r="BR15" s="52"/>
      <c r="BS15" s="61"/>
      <c r="BT15" s="2"/>
      <c r="BU15" s="36"/>
      <c r="BV15" s="2"/>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2"/>
      <c r="HW15" s="36"/>
      <c r="HX15" s="36"/>
    </row>
    <row r="16" spans="1:232" ht="45" customHeight="1">
      <c r="A16" s="36"/>
      <c r="B16" s="38"/>
      <c r="C16" s="36"/>
      <c r="D16" s="37"/>
      <c r="E16" s="36"/>
      <c r="F16" s="36"/>
      <c r="G16" s="36"/>
      <c r="H16" s="36"/>
      <c r="I16" s="36"/>
      <c r="J16" s="36"/>
      <c r="K16" s="36"/>
      <c r="L16" s="29"/>
      <c r="M16" s="36"/>
      <c r="N16" s="30"/>
      <c r="O16" s="52"/>
      <c r="P16" s="36"/>
      <c r="Q16" s="36"/>
      <c r="R16" s="36"/>
      <c r="S16" s="2"/>
      <c r="T16" s="2"/>
      <c r="U16" s="36"/>
      <c r="V16" s="36"/>
      <c r="W16" s="36"/>
      <c r="X16" s="36"/>
      <c r="Y16" s="36"/>
      <c r="Z16" s="36"/>
      <c r="AA16" s="36"/>
      <c r="AB16" s="36"/>
      <c r="AC16" s="36"/>
      <c r="AD16" s="36"/>
      <c r="AE16" s="36"/>
      <c r="AF16" s="39"/>
      <c r="AG16" s="36"/>
      <c r="AH16" s="36"/>
      <c r="AI16" s="36"/>
      <c r="AJ16" s="36"/>
      <c r="AK16" s="36"/>
      <c r="AL16" s="36"/>
      <c r="AM16" s="36"/>
      <c r="AN16" s="36"/>
      <c r="AO16" s="36"/>
      <c r="AP16" s="36"/>
      <c r="AQ16" s="36"/>
      <c r="AR16" s="36"/>
      <c r="AS16" s="36"/>
      <c r="AT16" s="36"/>
      <c r="AU16" s="36"/>
      <c r="AV16" s="36"/>
      <c r="AW16" s="36"/>
      <c r="AX16" s="40"/>
      <c r="AY16" s="36"/>
      <c r="AZ16" s="36"/>
      <c r="BA16" s="36"/>
      <c r="BB16" s="36">
        <f t="shared" si="9"/>
        <v>0</v>
      </c>
      <c r="BC16" s="36"/>
      <c r="BD16" s="36"/>
      <c r="BE16" s="36"/>
      <c r="BF16" s="36"/>
      <c r="BG16" s="36"/>
      <c r="BH16" s="36"/>
      <c r="BI16" s="36"/>
      <c r="BJ16" s="36"/>
      <c r="BK16" s="36"/>
      <c r="BL16" s="36"/>
      <c r="BM16" s="36"/>
      <c r="BN16" s="33"/>
      <c r="BO16" s="33"/>
      <c r="BP16" s="35"/>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2"/>
      <c r="HW16" s="36"/>
      <c r="HX16" s="36"/>
    </row>
    <row r="17" spans="1:232" ht="45" customHeight="1">
      <c r="A17" s="36"/>
      <c r="B17" s="30"/>
      <c r="C17" s="2"/>
      <c r="D17" s="37"/>
      <c r="E17" s="36"/>
      <c r="F17" s="36"/>
      <c r="G17" s="36"/>
      <c r="H17" s="2"/>
      <c r="I17" s="36"/>
      <c r="J17" s="36"/>
      <c r="K17" s="2"/>
      <c r="L17" s="29"/>
      <c r="M17" s="36"/>
      <c r="N17" s="30"/>
      <c r="O17" s="52"/>
      <c r="P17" s="28"/>
      <c r="Q17" s="28"/>
      <c r="R17" s="36"/>
      <c r="S17" s="2"/>
      <c r="T17" s="2"/>
      <c r="U17" s="36"/>
      <c r="V17" s="36"/>
      <c r="W17" s="36"/>
      <c r="X17" s="36"/>
      <c r="Y17" s="36"/>
      <c r="Z17" s="36"/>
      <c r="AA17" s="36"/>
      <c r="AB17" s="36"/>
      <c r="AC17" s="36"/>
      <c r="AD17" s="36"/>
      <c r="AE17" s="36"/>
      <c r="AF17" s="39"/>
      <c r="AG17" s="36"/>
      <c r="AH17" s="36"/>
      <c r="AI17" s="36"/>
      <c r="AJ17" s="36"/>
      <c r="AK17" s="36"/>
      <c r="AL17" s="36"/>
      <c r="AM17" s="36"/>
      <c r="AN17" s="36"/>
      <c r="AO17" s="36"/>
      <c r="AP17" s="36"/>
      <c r="AQ17" s="36"/>
      <c r="AR17" s="36"/>
      <c r="AS17" s="36"/>
      <c r="AT17" s="36"/>
      <c r="AU17" s="36"/>
      <c r="AV17" s="36"/>
      <c r="AW17" s="36"/>
      <c r="AX17" s="40"/>
      <c r="AY17" s="36"/>
      <c r="AZ17" s="36"/>
      <c r="BA17" s="36"/>
      <c r="BB17" s="36"/>
      <c r="BC17" s="36"/>
      <c r="BD17" s="36"/>
      <c r="BE17" s="36"/>
      <c r="BF17" s="36"/>
      <c r="BG17" s="36"/>
      <c r="BH17" s="36"/>
      <c r="BI17" s="36"/>
      <c r="BJ17" s="36"/>
      <c r="BK17" s="36"/>
      <c r="BL17" s="36"/>
      <c r="BM17" s="36"/>
      <c r="BN17" s="33"/>
      <c r="BO17" s="33"/>
      <c r="BP17" s="34"/>
      <c r="BQ17" s="36"/>
      <c r="BR17" s="52"/>
      <c r="BS17" s="28"/>
      <c r="BT17" s="2"/>
      <c r="BU17" s="36"/>
      <c r="BV17" s="2"/>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52"/>
      <c r="DU17" s="54"/>
      <c r="DV17" s="54"/>
      <c r="DW17" s="36"/>
      <c r="DX17" s="54"/>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36"/>
      <c r="HU17" s="36"/>
      <c r="HV17" s="2"/>
      <c r="HW17" s="36"/>
      <c r="HX17" s="36"/>
    </row>
    <row r="18" spans="1:232" ht="45" customHeight="1">
      <c r="A18" s="36"/>
      <c r="B18" s="38"/>
      <c r="C18" s="2"/>
      <c r="D18" s="37"/>
      <c r="E18" s="36"/>
      <c r="F18" s="36"/>
      <c r="G18" s="36"/>
      <c r="H18" s="36"/>
      <c r="I18" s="36"/>
      <c r="J18" s="2"/>
      <c r="K18" s="2"/>
      <c r="L18" s="37"/>
      <c r="M18" s="2"/>
      <c r="N18" s="30"/>
      <c r="O18" s="52"/>
      <c r="P18" s="28"/>
      <c r="Q18" s="28"/>
      <c r="R18" s="36"/>
      <c r="S18" s="2"/>
      <c r="T18" s="2"/>
      <c r="U18" s="36"/>
      <c r="V18" s="36"/>
      <c r="W18" s="36"/>
      <c r="X18" s="36"/>
      <c r="Y18" s="36"/>
      <c r="Z18" s="36"/>
      <c r="AA18" s="36"/>
      <c r="AB18" s="36"/>
      <c r="AC18" s="36"/>
      <c r="AD18" s="36"/>
      <c r="AE18" s="36"/>
      <c r="AF18" s="39"/>
      <c r="AG18" s="36"/>
      <c r="AH18" s="36"/>
      <c r="AI18" s="36"/>
      <c r="AJ18" s="36"/>
      <c r="AK18" s="36"/>
      <c r="AL18" s="36"/>
      <c r="AM18" s="36"/>
      <c r="AN18" s="36"/>
      <c r="AO18" s="36"/>
      <c r="AP18" s="36"/>
      <c r="AQ18" s="36"/>
      <c r="AR18" s="36"/>
      <c r="AS18" s="36"/>
      <c r="AT18" s="36"/>
      <c r="AU18" s="36"/>
      <c r="AV18" s="36"/>
      <c r="AW18" s="36"/>
      <c r="AX18" s="40"/>
      <c r="AY18" s="36"/>
      <c r="AZ18" s="36"/>
      <c r="BA18" s="36"/>
      <c r="BB18" s="36"/>
      <c r="BC18" s="36"/>
      <c r="BD18" s="36"/>
      <c r="BE18" s="36"/>
      <c r="BF18" s="36"/>
      <c r="BG18" s="36"/>
      <c r="BH18" s="36"/>
      <c r="BI18" s="36"/>
      <c r="BJ18" s="36"/>
      <c r="BK18" s="36"/>
      <c r="BL18" s="36"/>
      <c r="BM18" s="36"/>
      <c r="BN18" s="33"/>
      <c r="BO18" s="33"/>
      <c r="BP18" s="35"/>
      <c r="BQ18" s="36"/>
      <c r="BR18" s="52"/>
      <c r="BS18" s="28"/>
      <c r="BT18" s="2"/>
      <c r="BU18" s="2"/>
      <c r="BV18" s="54"/>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52"/>
      <c r="DU18" s="28"/>
      <c r="DV18" s="28"/>
      <c r="DW18" s="2"/>
      <c r="DX18" s="2"/>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2"/>
      <c r="HW18" s="36"/>
      <c r="HX18" s="36"/>
    </row>
    <row r="19" spans="1:232" ht="45" customHeight="1">
      <c r="A19" s="36"/>
      <c r="B19" s="30"/>
      <c r="C19" s="54"/>
      <c r="D19" s="37"/>
      <c r="E19" s="36"/>
      <c r="F19" s="36"/>
      <c r="G19" s="36"/>
      <c r="H19" s="36"/>
      <c r="I19" s="36"/>
      <c r="J19" s="36"/>
      <c r="K19" s="2"/>
      <c r="L19" s="37"/>
      <c r="M19" s="2"/>
      <c r="N19" s="30"/>
      <c r="O19" s="52"/>
      <c r="P19" s="28"/>
      <c r="Q19" s="28"/>
      <c r="R19" s="36"/>
      <c r="S19" s="2"/>
      <c r="T19" s="2"/>
      <c r="U19" s="36"/>
      <c r="V19" s="36"/>
      <c r="W19" s="36"/>
      <c r="X19" s="36"/>
      <c r="Y19" s="36"/>
      <c r="Z19" s="36"/>
      <c r="AA19" s="36"/>
      <c r="AB19" s="36"/>
      <c r="AC19" s="36"/>
      <c r="AD19" s="36"/>
      <c r="AE19" s="36"/>
      <c r="AF19" s="39"/>
      <c r="AG19" s="36"/>
      <c r="AH19" s="36"/>
      <c r="AI19" s="36"/>
      <c r="AJ19" s="36"/>
      <c r="AK19" s="36"/>
      <c r="AL19" s="36"/>
      <c r="AM19" s="36"/>
      <c r="AN19" s="36"/>
      <c r="AO19" s="36"/>
      <c r="AP19" s="36"/>
      <c r="AQ19" s="36"/>
      <c r="AR19" s="36"/>
      <c r="AS19" s="36"/>
      <c r="AT19" s="36"/>
      <c r="AU19" s="36"/>
      <c r="AV19" s="36"/>
      <c r="AW19" s="36"/>
      <c r="AX19" s="40"/>
      <c r="AY19" s="36"/>
      <c r="AZ19" s="36"/>
      <c r="BA19" s="36"/>
      <c r="BB19" s="36"/>
      <c r="BC19" s="36"/>
      <c r="BD19" s="36"/>
      <c r="BE19" s="36"/>
      <c r="BF19" s="36"/>
      <c r="BG19" s="36"/>
      <c r="BH19" s="36"/>
      <c r="BI19" s="36"/>
      <c r="BJ19" s="36"/>
      <c r="BK19" s="36"/>
      <c r="BL19" s="36"/>
      <c r="BM19" s="36"/>
      <c r="BN19" s="33"/>
      <c r="BO19" s="33"/>
      <c r="BP19" s="34"/>
      <c r="BQ19" s="36"/>
      <c r="BR19" s="52"/>
      <c r="BS19" s="28"/>
      <c r="BT19" s="2"/>
      <c r="BU19" s="36"/>
      <c r="BV19" s="2"/>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55"/>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6"/>
      <c r="FI19" s="36"/>
      <c r="FJ19" s="36"/>
      <c r="FK19" s="36"/>
      <c r="FL19" s="36"/>
      <c r="FM19" s="36"/>
      <c r="FN19" s="36"/>
      <c r="FO19" s="36"/>
      <c r="FP19" s="36"/>
      <c r="FQ19" s="36"/>
      <c r="FR19" s="36"/>
      <c r="FS19" s="36"/>
      <c r="FT19" s="36"/>
      <c r="FU19" s="36"/>
      <c r="FV19" s="52"/>
      <c r="FW19" s="28"/>
      <c r="FX19" s="28"/>
      <c r="FY19" s="36"/>
      <c r="FZ19" s="2"/>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2"/>
      <c r="HW19" s="36"/>
      <c r="HX19" s="36"/>
    </row>
    <row r="20" spans="1:232" ht="26.25" customHeight="1">
      <c r="A20" s="36"/>
      <c r="B20" s="30"/>
      <c r="C20" s="28"/>
      <c r="D20" s="37"/>
      <c r="E20" s="36"/>
      <c r="F20" s="36"/>
      <c r="G20" s="36"/>
      <c r="H20" s="36"/>
      <c r="I20" s="36"/>
      <c r="J20" s="36"/>
      <c r="K20" s="36"/>
      <c r="L20" s="129"/>
      <c r="M20" s="54"/>
      <c r="N20" s="30"/>
      <c r="O20" s="52"/>
      <c r="P20" s="54"/>
      <c r="Q20" s="28"/>
      <c r="R20" s="36"/>
      <c r="S20" s="2"/>
      <c r="T20" s="2"/>
      <c r="U20" s="36"/>
      <c r="V20" s="36"/>
      <c r="W20" s="36"/>
      <c r="X20" s="36"/>
      <c r="Y20" s="36"/>
      <c r="Z20" s="36"/>
      <c r="AA20" s="36"/>
      <c r="AB20" s="36"/>
      <c r="AC20" s="36"/>
      <c r="AD20" s="36"/>
      <c r="AE20" s="36"/>
      <c r="AF20" s="39"/>
      <c r="AG20" s="36"/>
      <c r="AH20" s="36"/>
      <c r="AI20" s="36"/>
      <c r="AJ20" s="36"/>
      <c r="AK20" s="36"/>
      <c r="AL20" s="36"/>
      <c r="AM20" s="36"/>
      <c r="AN20" s="36"/>
      <c r="AO20" s="36"/>
      <c r="AP20" s="36"/>
      <c r="AQ20" s="36"/>
      <c r="AR20" s="36"/>
      <c r="AS20" s="36"/>
      <c r="AT20" s="36"/>
      <c r="AU20" s="36"/>
      <c r="AV20" s="36"/>
      <c r="AW20" s="36"/>
      <c r="AX20" s="40"/>
      <c r="AY20" s="36"/>
      <c r="AZ20" s="36"/>
      <c r="BA20" s="36"/>
      <c r="BB20" s="36"/>
      <c r="BC20" s="36"/>
      <c r="BD20" s="36"/>
      <c r="BE20" s="36"/>
      <c r="BF20" s="36"/>
      <c r="BG20" s="36"/>
      <c r="BH20" s="36"/>
      <c r="BI20" s="36"/>
      <c r="BJ20" s="36"/>
      <c r="BK20" s="36"/>
      <c r="BL20" s="36"/>
      <c r="BM20" s="36"/>
      <c r="BN20" s="33"/>
      <c r="BO20" s="33"/>
      <c r="BP20" s="35"/>
      <c r="BQ20" s="36"/>
      <c r="BR20" s="52"/>
      <c r="BS20" s="28"/>
      <c r="BT20" s="2"/>
      <c r="BU20" s="36"/>
      <c r="BV20" s="2"/>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2"/>
      <c r="HW20" s="36"/>
      <c r="HX20" s="36"/>
    </row>
    <row r="21" spans="1:232">
      <c r="A21" s="36"/>
      <c r="B21" s="30"/>
      <c r="C21" s="2"/>
      <c r="D21" s="37"/>
      <c r="E21" s="36"/>
      <c r="F21" s="36"/>
      <c r="G21" s="36"/>
      <c r="H21" s="36"/>
      <c r="I21" s="36"/>
      <c r="J21" s="36"/>
      <c r="K21" s="36"/>
      <c r="L21" s="29"/>
      <c r="M21" s="36"/>
      <c r="N21" s="30"/>
      <c r="O21" s="52"/>
      <c r="P21" s="54"/>
      <c r="Q21" s="28"/>
      <c r="R21" s="2"/>
      <c r="S21" s="2"/>
      <c r="T21" s="2"/>
      <c r="U21" s="36"/>
      <c r="V21" s="36"/>
      <c r="W21" s="36"/>
      <c r="X21" s="36"/>
      <c r="Y21" s="36"/>
      <c r="Z21" s="36"/>
      <c r="AA21" s="36"/>
      <c r="AB21" s="36"/>
      <c r="AC21" s="36"/>
      <c r="AD21" s="36"/>
      <c r="AE21" s="36"/>
      <c r="AF21" s="39"/>
      <c r="AG21" s="36"/>
      <c r="AH21" s="36"/>
      <c r="AI21" s="36"/>
      <c r="AJ21" s="36"/>
      <c r="AK21" s="36"/>
      <c r="AL21" s="36"/>
      <c r="AM21" s="36"/>
      <c r="AN21" s="36"/>
      <c r="AO21" s="36"/>
      <c r="AP21" s="36"/>
      <c r="AQ21" s="36"/>
      <c r="AR21" s="36"/>
      <c r="AS21" s="36"/>
      <c r="AT21" s="36"/>
      <c r="AU21" s="36"/>
      <c r="AV21" s="36"/>
      <c r="AW21" s="36"/>
      <c r="AX21" s="40"/>
      <c r="AY21" s="36"/>
      <c r="AZ21" s="36"/>
      <c r="BA21" s="36"/>
      <c r="BB21" s="36"/>
      <c r="BC21" s="36"/>
      <c r="BD21" s="36"/>
      <c r="BE21" s="36"/>
      <c r="BF21" s="36"/>
      <c r="BG21" s="36"/>
      <c r="BH21" s="36"/>
      <c r="BI21" s="36"/>
      <c r="BJ21" s="36"/>
      <c r="BK21" s="36"/>
      <c r="BL21" s="36"/>
      <c r="BM21" s="36"/>
      <c r="BN21" s="33"/>
      <c r="BO21" s="33"/>
      <c r="BP21" s="35"/>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2"/>
      <c r="HW21" s="36"/>
      <c r="HX21" s="36"/>
    </row>
    <row r="22" spans="1:232">
      <c r="A22" s="36"/>
      <c r="B22" s="30"/>
      <c r="C22" s="2"/>
      <c r="D22" s="37"/>
      <c r="E22" s="36"/>
      <c r="F22" s="36"/>
      <c r="G22" s="36"/>
      <c r="H22" s="36"/>
      <c r="I22" s="36"/>
      <c r="J22" s="36"/>
      <c r="K22" s="36"/>
      <c r="L22" s="37"/>
      <c r="M22" s="2"/>
      <c r="N22" s="30"/>
      <c r="O22" s="52"/>
      <c r="P22" s="54"/>
      <c r="Q22" s="28"/>
      <c r="R22" s="36"/>
      <c r="S22" s="2"/>
      <c r="T22" s="2"/>
      <c r="U22" s="36"/>
      <c r="V22" s="36"/>
      <c r="W22" s="36"/>
      <c r="X22" s="36"/>
      <c r="Y22" s="36"/>
      <c r="Z22" s="36"/>
      <c r="AA22" s="36"/>
      <c r="AB22" s="36"/>
      <c r="AC22" s="36"/>
      <c r="AD22" s="36"/>
      <c r="AE22" s="36"/>
      <c r="AF22" s="39"/>
      <c r="AG22" s="36"/>
      <c r="AH22" s="36"/>
      <c r="AI22" s="36"/>
      <c r="AJ22" s="36"/>
      <c r="AK22" s="36"/>
      <c r="AL22" s="36"/>
      <c r="AM22" s="36"/>
      <c r="AN22" s="36"/>
      <c r="AO22" s="36"/>
      <c r="AP22" s="36"/>
      <c r="AQ22" s="36"/>
      <c r="AR22" s="36"/>
      <c r="AS22" s="36"/>
      <c r="AT22" s="36"/>
      <c r="AU22" s="36"/>
      <c r="AV22" s="36"/>
      <c r="AW22" s="36"/>
      <c r="AX22" s="40"/>
      <c r="AY22" s="36"/>
      <c r="AZ22" s="36"/>
      <c r="BA22" s="36"/>
      <c r="BB22" s="36"/>
      <c r="BC22" s="36"/>
      <c r="BD22" s="36"/>
      <c r="BE22" s="36"/>
      <c r="BF22" s="36"/>
      <c r="BG22" s="36"/>
      <c r="BH22" s="36"/>
      <c r="BI22" s="36"/>
      <c r="BJ22" s="36"/>
      <c r="BK22" s="36"/>
      <c r="BL22" s="36"/>
      <c r="BM22" s="36"/>
      <c r="BN22" s="33"/>
      <c r="BO22" s="33"/>
      <c r="BP22" s="34"/>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2"/>
      <c r="HW22" s="36"/>
      <c r="HX22" s="36"/>
    </row>
    <row r="23" spans="1:232">
      <c r="A23" s="36"/>
      <c r="B23" s="30"/>
      <c r="C23" s="2"/>
      <c r="D23" s="37"/>
      <c r="E23" s="36"/>
      <c r="F23" s="36"/>
      <c r="G23" s="36"/>
      <c r="H23" s="36"/>
      <c r="I23" s="36"/>
      <c r="J23" s="36"/>
      <c r="K23" s="2"/>
      <c r="L23" s="129"/>
      <c r="M23" s="54"/>
      <c r="N23" s="49"/>
      <c r="O23" s="52"/>
      <c r="P23" s="54"/>
      <c r="Q23" s="28"/>
      <c r="R23" s="36"/>
      <c r="S23" s="2"/>
      <c r="T23" s="2"/>
      <c r="U23" s="36"/>
      <c r="V23" s="36"/>
      <c r="W23" s="36"/>
      <c r="X23" s="36"/>
      <c r="Y23" s="36"/>
      <c r="Z23" s="36"/>
      <c r="AA23" s="36"/>
      <c r="AB23" s="36"/>
      <c r="AC23" s="36"/>
      <c r="AD23" s="36"/>
      <c r="AE23" s="36"/>
      <c r="AF23" s="39"/>
      <c r="AG23" s="36"/>
      <c r="AH23" s="36"/>
      <c r="AI23" s="36"/>
      <c r="AJ23" s="36"/>
      <c r="AK23" s="36"/>
      <c r="AL23" s="36"/>
      <c r="AM23" s="36"/>
      <c r="AN23" s="36"/>
      <c r="AO23" s="36"/>
      <c r="AP23" s="36"/>
      <c r="AQ23" s="36"/>
      <c r="AR23" s="36"/>
      <c r="AS23" s="36"/>
      <c r="AT23" s="36"/>
      <c r="AU23" s="36"/>
      <c r="AV23" s="36"/>
      <c r="AW23" s="36"/>
      <c r="AX23" s="40"/>
      <c r="AY23" s="36"/>
      <c r="AZ23" s="36"/>
      <c r="BA23" s="36"/>
      <c r="BB23" s="36"/>
      <c r="BC23" s="36"/>
      <c r="BD23" s="36"/>
      <c r="BE23" s="36"/>
      <c r="BF23" s="36"/>
      <c r="BG23" s="36"/>
      <c r="BH23" s="36"/>
      <c r="BI23" s="36"/>
      <c r="BJ23" s="36"/>
      <c r="BK23" s="36"/>
      <c r="BL23" s="36"/>
      <c r="BM23" s="36"/>
      <c r="BN23" s="33"/>
      <c r="BO23" s="33"/>
      <c r="BP23" s="34"/>
      <c r="BQ23" s="36"/>
      <c r="BR23" s="52"/>
      <c r="BS23" s="28"/>
      <c r="BT23" s="2"/>
      <c r="BU23" s="2"/>
      <c r="BV23" s="2"/>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48"/>
      <c r="DU23" s="48"/>
      <c r="DV23" s="48"/>
      <c r="DW23" s="48"/>
      <c r="DX23" s="48"/>
      <c r="DY23" s="48"/>
      <c r="DZ23" s="48"/>
      <c r="EA23" s="48"/>
      <c r="EB23" s="48"/>
      <c r="EC23" s="48"/>
      <c r="ED23" s="48"/>
      <c r="EE23" s="48"/>
      <c r="EF23" s="48"/>
      <c r="EG23" s="48"/>
      <c r="EH23" s="48"/>
      <c r="EI23" s="48"/>
      <c r="EJ23" s="36"/>
      <c r="EK23" s="48"/>
      <c r="EL23" s="48"/>
      <c r="EM23" s="48"/>
      <c r="EN23" s="48"/>
      <c r="EO23" s="48"/>
      <c r="EP23" s="48"/>
      <c r="EQ23" s="48"/>
      <c r="ER23" s="48"/>
      <c r="ES23" s="48"/>
      <c r="ET23" s="48"/>
      <c r="EU23" s="48"/>
      <c r="EV23" s="48"/>
      <c r="EW23" s="48"/>
      <c r="EX23" s="48"/>
      <c r="EY23" s="48"/>
      <c r="EZ23" s="48"/>
      <c r="FA23" s="48"/>
      <c r="FB23" s="36"/>
      <c r="FC23" s="48"/>
      <c r="FD23" s="48"/>
      <c r="FE23" s="48"/>
      <c r="FF23" s="48"/>
      <c r="FG23" s="48"/>
      <c r="FH23" s="48"/>
      <c r="FI23" s="48"/>
      <c r="FJ23" s="48"/>
      <c r="FK23" s="48"/>
      <c r="FL23" s="48"/>
      <c r="FM23" s="48"/>
      <c r="FN23" s="48"/>
      <c r="FO23" s="48"/>
      <c r="FP23" s="48"/>
      <c r="FQ23" s="48"/>
      <c r="FR23" s="36"/>
      <c r="FS23" s="36"/>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134"/>
      <c r="HW23" s="36"/>
      <c r="HX23" s="36"/>
    </row>
    <row r="24" spans="1:232">
      <c r="A24" s="36"/>
      <c r="B24" s="30"/>
      <c r="C24" s="36"/>
      <c r="D24" s="37"/>
      <c r="E24" s="36"/>
      <c r="F24" s="36"/>
      <c r="G24" s="36"/>
      <c r="H24" s="36"/>
      <c r="I24" s="36"/>
      <c r="J24" s="36"/>
      <c r="K24" s="36"/>
      <c r="L24" s="37"/>
      <c r="M24" s="2"/>
      <c r="N24" s="30"/>
      <c r="O24" s="52"/>
      <c r="P24" s="54"/>
      <c r="Q24" s="28"/>
      <c r="R24" s="36"/>
      <c r="S24" s="2"/>
      <c r="T24" s="2"/>
      <c r="U24" s="36"/>
      <c r="V24" s="36"/>
      <c r="W24" s="36"/>
      <c r="X24" s="36"/>
      <c r="Y24" s="36"/>
      <c r="Z24" s="36"/>
      <c r="AA24" s="36"/>
      <c r="AB24" s="36"/>
      <c r="AC24" s="36"/>
      <c r="AD24" s="36"/>
      <c r="AE24" s="36"/>
      <c r="AF24" s="39"/>
      <c r="AG24" s="36"/>
      <c r="AH24" s="36"/>
      <c r="AI24" s="36"/>
      <c r="AJ24" s="36"/>
      <c r="AK24" s="36"/>
      <c r="AL24" s="36"/>
      <c r="AM24" s="36"/>
      <c r="AN24" s="36"/>
      <c r="AO24" s="36"/>
      <c r="AP24" s="36"/>
      <c r="AQ24" s="36"/>
      <c r="AR24" s="36"/>
      <c r="AS24" s="36"/>
      <c r="AT24" s="36"/>
      <c r="AU24" s="36"/>
      <c r="AV24" s="36"/>
      <c r="AW24" s="36"/>
      <c r="AX24" s="40"/>
      <c r="AY24" s="36"/>
      <c r="AZ24" s="36"/>
      <c r="BA24" s="36"/>
      <c r="BB24" s="36"/>
      <c r="BC24" s="36"/>
      <c r="BD24" s="36"/>
      <c r="BE24" s="36"/>
      <c r="BF24" s="36"/>
      <c r="BG24" s="36"/>
      <c r="BH24" s="36"/>
      <c r="BI24" s="36"/>
      <c r="BJ24" s="36"/>
      <c r="BK24" s="36"/>
      <c r="BL24" s="36"/>
      <c r="BM24" s="36"/>
      <c r="BN24" s="33"/>
      <c r="BO24" s="33"/>
      <c r="BP24" s="34"/>
      <c r="BQ24" s="36"/>
      <c r="BR24" s="52"/>
      <c r="BS24" s="28"/>
      <c r="BT24" s="2"/>
      <c r="BU24" s="36"/>
      <c r="BV24" s="2"/>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52"/>
      <c r="DU24" s="28"/>
      <c r="DV24" s="28"/>
      <c r="DW24" s="36"/>
      <c r="DX24" s="2"/>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2"/>
      <c r="HW24" s="36"/>
      <c r="HX24" s="36"/>
    </row>
    <row r="25" spans="1:232">
      <c r="A25" s="36"/>
      <c r="B25" s="30"/>
      <c r="C25" s="36"/>
      <c r="D25" s="37"/>
      <c r="E25" s="36"/>
      <c r="F25" s="36"/>
      <c r="G25" s="36"/>
      <c r="H25" s="2"/>
      <c r="I25" s="36"/>
      <c r="J25" s="36"/>
      <c r="K25" s="36"/>
      <c r="L25" s="29"/>
      <c r="M25" s="36"/>
      <c r="N25" s="30"/>
      <c r="O25" s="52"/>
      <c r="P25" s="28"/>
      <c r="Q25" s="28"/>
      <c r="R25" s="36"/>
      <c r="S25" s="2"/>
      <c r="T25" s="2"/>
      <c r="U25" s="36"/>
      <c r="V25" s="36"/>
      <c r="W25" s="36"/>
      <c r="X25" s="36"/>
      <c r="Y25" s="36"/>
      <c r="Z25" s="36"/>
      <c r="AA25" s="36"/>
      <c r="AB25" s="36"/>
      <c r="AC25" s="36"/>
      <c r="AD25" s="36"/>
      <c r="AE25" s="36"/>
      <c r="AF25" s="39"/>
      <c r="AG25" s="36"/>
      <c r="AH25" s="36"/>
      <c r="AI25" s="36"/>
      <c r="AJ25" s="36"/>
      <c r="AK25" s="36"/>
      <c r="AL25" s="36"/>
      <c r="AM25" s="36"/>
      <c r="AN25" s="36"/>
      <c r="AO25" s="36"/>
      <c r="AP25" s="36"/>
      <c r="AQ25" s="36"/>
      <c r="AR25" s="36"/>
      <c r="AS25" s="36"/>
      <c r="AT25" s="36"/>
      <c r="AU25" s="36"/>
      <c r="AV25" s="36"/>
      <c r="AW25" s="36"/>
      <c r="AX25" s="40"/>
      <c r="AY25" s="36"/>
      <c r="AZ25" s="36"/>
      <c r="BA25" s="36"/>
      <c r="BB25" s="36"/>
      <c r="BC25" s="36"/>
      <c r="BD25" s="36"/>
      <c r="BE25" s="36"/>
      <c r="BF25" s="36"/>
      <c r="BG25" s="36"/>
      <c r="BH25" s="36"/>
      <c r="BI25" s="36"/>
      <c r="BJ25" s="36"/>
      <c r="BK25" s="36"/>
      <c r="BL25" s="36"/>
      <c r="BM25" s="36"/>
      <c r="BN25" s="33"/>
      <c r="BO25" s="33"/>
      <c r="BP25" s="34"/>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2"/>
      <c r="HW25" s="36"/>
      <c r="HX25" s="36"/>
    </row>
    <row r="26" spans="1:232">
      <c r="A26" s="36"/>
      <c r="B26" s="30"/>
      <c r="C26" s="36"/>
      <c r="D26" s="37"/>
      <c r="E26" s="36"/>
      <c r="F26" s="36"/>
      <c r="G26" s="36"/>
      <c r="H26" s="36"/>
      <c r="I26" s="36"/>
      <c r="J26" s="36"/>
      <c r="K26" s="36"/>
      <c r="L26" s="29"/>
      <c r="M26" s="36"/>
      <c r="N26" s="30"/>
      <c r="O26" s="52"/>
      <c r="P26" s="28"/>
      <c r="Q26" s="28"/>
      <c r="R26" s="36"/>
      <c r="S26" s="2"/>
      <c r="T26" s="2"/>
      <c r="U26" s="36"/>
      <c r="V26" s="36"/>
      <c r="W26" s="36"/>
      <c r="X26" s="36"/>
      <c r="Y26" s="36"/>
      <c r="Z26" s="36"/>
      <c r="AA26" s="36"/>
      <c r="AB26" s="36"/>
      <c r="AC26" s="36"/>
      <c r="AD26" s="36"/>
      <c r="AE26" s="36"/>
      <c r="AF26" s="39"/>
      <c r="AG26" s="36"/>
      <c r="AH26" s="36"/>
      <c r="AI26" s="36"/>
      <c r="AJ26" s="36"/>
      <c r="AK26" s="36"/>
      <c r="AL26" s="36"/>
      <c r="AM26" s="36"/>
      <c r="AN26" s="36"/>
      <c r="AO26" s="36"/>
      <c r="AP26" s="36"/>
      <c r="AQ26" s="36"/>
      <c r="AR26" s="36"/>
      <c r="AS26" s="36"/>
      <c r="AT26" s="36"/>
      <c r="AU26" s="36"/>
      <c r="AV26" s="36"/>
      <c r="AW26" s="36"/>
      <c r="AX26" s="40"/>
      <c r="AY26" s="36"/>
      <c r="AZ26" s="36"/>
      <c r="BA26" s="36"/>
      <c r="BB26" s="36"/>
      <c r="BC26" s="36"/>
      <c r="BD26" s="36"/>
      <c r="BE26" s="36"/>
      <c r="BF26" s="36"/>
      <c r="BG26" s="36"/>
      <c r="BH26" s="36"/>
      <c r="BI26" s="36"/>
      <c r="BJ26" s="36"/>
      <c r="BK26" s="36"/>
      <c r="BL26" s="36"/>
      <c r="BM26" s="36"/>
      <c r="BN26" s="33"/>
      <c r="BO26" s="33"/>
      <c r="BP26" s="34"/>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2"/>
      <c r="HW26" s="36"/>
      <c r="HX26" s="36"/>
    </row>
    <row r="27" spans="1:232">
      <c r="A27" s="36"/>
      <c r="B27" s="30"/>
      <c r="C27" s="2"/>
      <c r="D27" s="37"/>
      <c r="E27" s="36"/>
      <c r="F27" s="36"/>
      <c r="G27" s="36"/>
      <c r="H27" s="2"/>
      <c r="I27" s="36"/>
      <c r="J27" s="36"/>
      <c r="K27" s="2"/>
      <c r="L27" s="37"/>
      <c r="M27" s="2"/>
      <c r="N27" s="30"/>
      <c r="O27" s="52"/>
      <c r="P27" s="28"/>
      <c r="Q27" s="28"/>
      <c r="R27" s="36"/>
      <c r="S27" s="2"/>
      <c r="T27" s="2"/>
      <c r="U27" s="36"/>
      <c r="V27" s="36"/>
      <c r="W27" s="36"/>
      <c r="X27" s="36"/>
      <c r="Y27" s="36"/>
      <c r="Z27" s="36"/>
      <c r="AA27" s="36"/>
      <c r="AB27" s="36"/>
      <c r="AC27" s="36"/>
      <c r="AD27" s="36"/>
      <c r="AE27" s="36"/>
      <c r="AF27" s="39"/>
      <c r="AG27" s="36"/>
      <c r="AH27" s="36"/>
      <c r="AI27" s="36"/>
      <c r="AJ27" s="36"/>
      <c r="AK27" s="36"/>
      <c r="AL27" s="36"/>
      <c r="AM27" s="36"/>
      <c r="AN27" s="36"/>
      <c r="AO27" s="36"/>
      <c r="AP27" s="36"/>
      <c r="AQ27" s="36"/>
      <c r="AR27" s="36"/>
      <c r="AS27" s="36"/>
      <c r="AT27" s="36"/>
      <c r="AU27" s="36"/>
      <c r="AV27" s="36"/>
      <c r="AW27" s="36"/>
      <c r="AX27" s="40"/>
      <c r="AY27" s="36"/>
      <c r="AZ27" s="36"/>
      <c r="BA27" s="36"/>
      <c r="BB27" s="36"/>
      <c r="BC27" s="36"/>
      <c r="BD27" s="36"/>
      <c r="BE27" s="36"/>
      <c r="BF27" s="36"/>
      <c r="BG27" s="36"/>
      <c r="BH27" s="36"/>
      <c r="BI27" s="36"/>
      <c r="BJ27" s="36"/>
      <c r="BK27" s="36"/>
      <c r="BL27" s="36"/>
      <c r="BM27" s="36"/>
      <c r="BN27" s="33"/>
      <c r="BO27" s="33"/>
      <c r="BP27" s="34"/>
      <c r="BQ27" s="36"/>
      <c r="BR27" s="52"/>
      <c r="BS27" s="28"/>
      <c r="BT27" s="2"/>
      <c r="BU27" s="36"/>
      <c r="BV27" s="2"/>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2"/>
      <c r="HW27" s="36"/>
      <c r="HX27" s="36"/>
    </row>
    <row r="28" spans="1:232">
      <c r="A28" s="36"/>
      <c r="B28" s="30"/>
      <c r="C28" s="36"/>
      <c r="D28" s="37"/>
      <c r="E28" s="36"/>
      <c r="F28" s="36"/>
      <c r="G28" s="2"/>
      <c r="H28" s="2"/>
      <c r="I28" s="36"/>
      <c r="J28" s="36"/>
      <c r="K28" s="36"/>
      <c r="L28" s="29"/>
      <c r="M28" s="36"/>
      <c r="N28" s="30"/>
      <c r="O28" s="52"/>
      <c r="P28" s="28"/>
      <c r="Q28" s="28"/>
      <c r="R28" s="36"/>
      <c r="S28" s="2"/>
      <c r="T28" s="2"/>
      <c r="U28" s="36"/>
      <c r="V28" s="36"/>
      <c r="W28" s="36"/>
      <c r="X28" s="36"/>
      <c r="Y28" s="36"/>
      <c r="Z28" s="36"/>
      <c r="AA28" s="36"/>
      <c r="AB28" s="36"/>
      <c r="AC28" s="36"/>
      <c r="AD28" s="36"/>
      <c r="AE28" s="36"/>
      <c r="AF28" s="39"/>
      <c r="AG28" s="36"/>
      <c r="AH28" s="36"/>
      <c r="AI28" s="36"/>
      <c r="AJ28" s="36"/>
      <c r="AK28" s="36"/>
      <c r="AL28" s="36"/>
      <c r="AM28" s="36"/>
      <c r="AN28" s="36"/>
      <c r="AO28" s="36"/>
      <c r="AP28" s="36"/>
      <c r="AQ28" s="36"/>
      <c r="AR28" s="36"/>
      <c r="AS28" s="36"/>
      <c r="AT28" s="36"/>
      <c r="AU28" s="36"/>
      <c r="AV28" s="36"/>
      <c r="AW28" s="36"/>
      <c r="AX28" s="40"/>
      <c r="AY28" s="36"/>
      <c r="AZ28" s="36"/>
      <c r="BA28" s="36"/>
      <c r="BB28" s="36"/>
      <c r="BC28" s="36"/>
      <c r="BD28" s="36"/>
      <c r="BE28" s="36"/>
      <c r="BF28" s="36"/>
      <c r="BG28" s="36"/>
      <c r="BH28" s="36"/>
      <c r="BI28" s="36"/>
      <c r="BJ28" s="36"/>
      <c r="BK28" s="36"/>
      <c r="BL28" s="36"/>
      <c r="BM28" s="36"/>
      <c r="BN28" s="33"/>
      <c r="BO28" s="33"/>
      <c r="BP28" s="35"/>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6"/>
      <c r="GQ28" s="36"/>
      <c r="GR28" s="36"/>
      <c r="GS28" s="36"/>
      <c r="GT28" s="36"/>
      <c r="GU28" s="36"/>
      <c r="GV28" s="36"/>
      <c r="GW28" s="36"/>
      <c r="GX28" s="36"/>
      <c r="GY28" s="36"/>
      <c r="GZ28" s="36"/>
      <c r="HA28" s="36"/>
      <c r="HB28" s="36"/>
      <c r="HC28" s="36"/>
      <c r="HD28" s="36"/>
      <c r="HE28" s="36"/>
      <c r="HF28" s="36"/>
      <c r="HG28" s="36"/>
      <c r="HH28" s="36"/>
      <c r="HI28" s="36"/>
      <c r="HJ28" s="36"/>
      <c r="HK28" s="36"/>
      <c r="HL28" s="36"/>
      <c r="HM28" s="36"/>
      <c r="HN28" s="36"/>
      <c r="HO28" s="36"/>
      <c r="HP28" s="36"/>
      <c r="HQ28" s="36"/>
      <c r="HR28" s="36"/>
      <c r="HS28" s="36"/>
      <c r="HT28" s="36"/>
      <c r="HU28" s="36"/>
      <c r="HV28" s="2"/>
      <c r="HW28" s="36"/>
      <c r="HX28" s="36"/>
    </row>
    <row r="29" spans="1:232">
      <c r="A29" s="36"/>
      <c r="B29" s="30"/>
      <c r="C29" s="36"/>
      <c r="D29" s="37"/>
      <c r="E29" s="36"/>
      <c r="F29" s="36"/>
      <c r="G29" s="36"/>
      <c r="H29" s="36"/>
      <c r="I29" s="36"/>
      <c r="J29" s="36"/>
      <c r="K29" s="36"/>
      <c r="L29" s="29"/>
      <c r="M29" s="36"/>
      <c r="N29" s="30"/>
      <c r="O29" s="52"/>
      <c r="P29" s="28"/>
      <c r="Q29" s="28"/>
      <c r="R29" s="36"/>
      <c r="S29" s="2"/>
      <c r="T29" s="2"/>
      <c r="U29" s="36"/>
      <c r="V29" s="36"/>
      <c r="W29" s="36"/>
      <c r="X29" s="36"/>
      <c r="Y29" s="36"/>
      <c r="Z29" s="36"/>
      <c r="AA29" s="36"/>
      <c r="AB29" s="36"/>
      <c r="AC29" s="36"/>
      <c r="AD29" s="36"/>
      <c r="AE29" s="36"/>
      <c r="AF29" s="39"/>
      <c r="AG29" s="36"/>
      <c r="AH29" s="36"/>
      <c r="AI29" s="36"/>
      <c r="AJ29" s="36"/>
      <c r="AK29" s="36"/>
      <c r="AL29" s="36"/>
      <c r="AM29" s="36"/>
      <c r="AN29" s="36"/>
      <c r="AO29" s="36"/>
      <c r="AP29" s="36"/>
      <c r="AQ29" s="36"/>
      <c r="AR29" s="36"/>
      <c r="AS29" s="36"/>
      <c r="AT29" s="36"/>
      <c r="AU29" s="36"/>
      <c r="AV29" s="36"/>
      <c r="AW29" s="36"/>
      <c r="AX29" s="40"/>
      <c r="AY29" s="36"/>
      <c r="AZ29" s="36"/>
      <c r="BA29" s="36"/>
      <c r="BB29" s="36"/>
      <c r="BC29" s="36"/>
      <c r="BD29" s="36"/>
      <c r="BE29" s="36"/>
      <c r="BF29" s="36"/>
      <c r="BG29" s="36"/>
      <c r="BH29" s="36"/>
      <c r="BI29" s="36"/>
      <c r="BJ29" s="36"/>
      <c r="BK29" s="36"/>
      <c r="BL29" s="36"/>
      <c r="BM29" s="36"/>
      <c r="BN29" s="33"/>
      <c r="BO29" s="33"/>
      <c r="BP29" s="34"/>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c r="HA29" s="36"/>
      <c r="HB29" s="36"/>
      <c r="HC29" s="36"/>
      <c r="HD29" s="36"/>
      <c r="HE29" s="36"/>
      <c r="HF29" s="36"/>
      <c r="HG29" s="36"/>
      <c r="HH29" s="36"/>
      <c r="HI29" s="36"/>
      <c r="HJ29" s="36"/>
      <c r="HK29" s="36"/>
      <c r="HL29" s="36"/>
      <c r="HM29" s="36"/>
      <c r="HN29" s="36"/>
      <c r="HO29" s="36"/>
      <c r="HP29" s="36"/>
      <c r="HQ29" s="36"/>
      <c r="HR29" s="36"/>
      <c r="HS29" s="36"/>
      <c r="HT29" s="36"/>
      <c r="HU29" s="36"/>
      <c r="HV29" s="2"/>
      <c r="HW29" s="36"/>
      <c r="HX29" s="36"/>
    </row>
    <row r="30" spans="1:232">
      <c r="A30" s="36"/>
      <c r="B30" s="30"/>
      <c r="C30" s="36"/>
      <c r="D30" s="37"/>
      <c r="E30" s="36"/>
      <c r="F30" s="36"/>
      <c r="G30" s="36"/>
      <c r="H30" s="36"/>
      <c r="I30" s="36"/>
      <c r="J30" s="36"/>
      <c r="K30" s="36"/>
      <c r="L30" s="29"/>
      <c r="M30" s="36"/>
      <c r="N30" s="30"/>
      <c r="O30" s="52"/>
      <c r="P30" s="28"/>
      <c r="Q30" s="28"/>
      <c r="R30" s="36"/>
      <c r="S30" s="2"/>
      <c r="T30" s="2"/>
      <c r="U30" s="36"/>
      <c r="V30" s="36"/>
      <c r="W30" s="36"/>
      <c r="X30" s="36"/>
      <c r="Y30" s="36"/>
      <c r="Z30" s="36"/>
      <c r="AA30" s="36"/>
      <c r="AB30" s="36"/>
      <c r="AC30" s="36"/>
      <c r="AD30" s="36"/>
      <c r="AE30" s="36"/>
      <c r="AF30" s="39"/>
      <c r="AG30" s="36"/>
      <c r="AH30" s="36"/>
      <c r="AI30" s="36"/>
      <c r="AJ30" s="36"/>
      <c r="AK30" s="36"/>
      <c r="AL30" s="36"/>
      <c r="AM30" s="36"/>
      <c r="AN30" s="36"/>
      <c r="AO30" s="36"/>
      <c r="AP30" s="36"/>
      <c r="AQ30" s="36"/>
      <c r="AR30" s="36"/>
      <c r="AS30" s="36"/>
      <c r="AT30" s="36"/>
      <c r="AU30" s="36"/>
      <c r="AV30" s="36"/>
      <c r="AW30" s="36"/>
      <c r="AX30" s="40"/>
      <c r="AY30" s="36"/>
      <c r="AZ30" s="36"/>
      <c r="BA30" s="36"/>
      <c r="BB30" s="36"/>
      <c r="BC30" s="36"/>
      <c r="BD30" s="36"/>
      <c r="BE30" s="36"/>
      <c r="BF30" s="36"/>
      <c r="BG30" s="36"/>
      <c r="BH30" s="36"/>
      <c r="BI30" s="36"/>
      <c r="BJ30" s="36"/>
      <c r="BK30" s="36"/>
      <c r="BL30" s="36"/>
      <c r="BM30" s="36"/>
      <c r="BN30" s="33"/>
      <c r="BO30" s="33"/>
      <c r="BP30" s="35"/>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c r="HA30" s="36"/>
      <c r="HB30" s="36"/>
      <c r="HC30" s="36"/>
      <c r="HD30" s="36"/>
      <c r="HE30" s="36"/>
      <c r="HF30" s="36"/>
      <c r="HG30" s="36"/>
      <c r="HH30" s="36"/>
      <c r="HI30" s="36"/>
      <c r="HJ30" s="36"/>
      <c r="HK30" s="36"/>
      <c r="HL30" s="36"/>
      <c r="HM30" s="36"/>
      <c r="HN30" s="36"/>
      <c r="HO30" s="36"/>
      <c r="HP30" s="36"/>
      <c r="HQ30" s="36"/>
      <c r="HR30" s="36"/>
      <c r="HS30" s="36"/>
      <c r="HT30" s="36"/>
      <c r="HU30" s="36"/>
      <c r="HV30" s="2"/>
      <c r="HW30" s="36"/>
      <c r="HX30" s="36"/>
    </row>
    <row r="31" spans="1:232">
      <c r="A31" s="36"/>
      <c r="B31" s="30"/>
      <c r="C31" s="36"/>
      <c r="D31" s="37"/>
      <c r="E31" s="36"/>
      <c r="F31" s="36"/>
      <c r="G31" s="36"/>
      <c r="H31" s="36"/>
      <c r="I31" s="36"/>
      <c r="J31" s="36"/>
      <c r="K31" s="36"/>
      <c r="L31" s="29"/>
      <c r="M31" s="36"/>
      <c r="N31" s="30"/>
      <c r="O31" s="52"/>
      <c r="P31" s="54"/>
      <c r="Q31" s="36"/>
      <c r="R31" s="36"/>
      <c r="S31" s="2"/>
      <c r="T31" s="2"/>
      <c r="U31" s="36"/>
      <c r="V31" s="36"/>
      <c r="W31" s="36"/>
      <c r="X31" s="36"/>
      <c r="Y31" s="36"/>
      <c r="Z31" s="36"/>
      <c r="AA31" s="36"/>
      <c r="AB31" s="36"/>
      <c r="AC31" s="36"/>
      <c r="AD31" s="36"/>
      <c r="AE31" s="36"/>
      <c r="AF31" s="39"/>
      <c r="AG31" s="36"/>
      <c r="AH31" s="36"/>
      <c r="AI31" s="36"/>
      <c r="AJ31" s="36"/>
      <c r="AK31" s="36"/>
      <c r="AL31" s="36"/>
      <c r="AM31" s="36"/>
      <c r="AN31" s="36"/>
      <c r="AO31" s="36"/>
      <c r="AP31" s="36"/>
      <c r="AQ31" s="36"/>
      <c r="AR31" s="36"/>
      <c r="AS31" s="36"/>
      <c r="AT31" s="36"/>
      <c r="AU31" s="36"/>
      <c r="AV31" s="36"/>
      <c r="AW31" s="36"/>
      <c r="AX31" s="40"/>
      <c r="AY31" s="36"/>
      <c r="AZ31" s="36"/>
      <c r="BA31" s="36"/>
      <c r="BB31" s="36"/>
      <c r="BC31" s="36"/>
      <c r="BD31" s="36"/>
      <c r="BE31" s="36"/>
      <c r="BF31" s="36"/>
      <c r="BG31" s="36"/>
      <c r="BH31" s="36"/>
      <c r="BI31" s="36"/>
      <c r="BJ31" s="36"/>
      <c r="BK31" s="36"/>
      <c r="BL31" s="36"/>
      <c r="BM31" s="36"/>
      <c r="BN31" s="33"/>
      <c r="BO31" s="33"/>
      <c r="BP31" s="34"/>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c r="HA31" s="36"/>
      <c r="HB31" s="36"/>
      <c r="HC31" s="36"/>
      <c r="HD31" s="36"/>
      <c r="HE31" s="36"/>
      <c r="HF31" s="36"/>
      <c r="HG31" s="36"/>
      <c r="HH31" s="36"/>
      <c r="HI31" s="36"/>
      <c r="HJ31" s="36"/>
      <c r="HK31" s="36"/>
      <c r="HL31" s="36"/>
      <c r="HM31" s="36"/>
      <c r="HN31" s="36"/>
      <c r="HO31" s="36"/>
      <c r="HP31" s="36"/>
      <c r="HQ31" s="36"/>
      <c r="HR31" s="36"/>
      <c r="HS31" s="36"/>
      <c r="HT31" s="36"/>
      <c r="HU31" s="36"/>
      <c r="HV31" s="2"/>
      <c r="HW31" s="36"/>
      <c r="HX31" s="36"/>
    </row>
    <row r="32" spans="1:232">
      <c r="A32" s="36"/>
      <c r="B32" s="30"/>
      <c r="C32" s="36"/>
      <c r="D32" s="37"/>
      <c r="E32" s="36"/>
      <c r="F32" s="36"/>
      <c r="G32" s="36"/>
      <c r="H32" s="36"/>
      <c r="I32" s="36"/>
      <c r="J32" s="36"/>
      <c r="K32" s="36"/>
      <c r="L32" s="29"/>
      <c r="M32" s="36"/>
      <c r="N32" s="30"/>
      <c r="O32" s="52"/>
      <c r="P32" s="36"/>
      <c r="Q32" s="36"/>
      <c r="R32" s="36"/>
      <c r="S32" s="2"/>
      <c r="T32" s="2"/>
      <c r="U32" s="36"/>
      <c r="V32" s="36"/>
      <c r="W32" s="36"/>
      <c r="X32" s="36"/>
      <c r="Y32" s="36"/>
      <c r="Z32" s="36"/>
      <c r="AA32" s="36"/>
      <c r="AB32" s="36"/>
      <c r="AC32" s="36"/>
      <c r="AD32" s="36"/>
      <c r="AE32" s="36"/>
      <c r="AF32" s="39"/>
      <c r="AG32" s="36"/>
      <c r="AH32" s="36"/>
      <c r="AI32" s="36"/>
      <c r="AJ32" s="36"/>
      <c r="AK32" s="36"/>
      <c r="AL32" s="36"/>
      <c r="AM32" s="36"/>
      <c r="AN32" s="36"/>
      <c r="AO32" s="36"/>
      <c r="AP32" s="36"/>
      <c r="AQ32" s="36"/>
      <c r="AR32" s="36"/>
      <c r="AS32" s="36"/>
      <c r="AT32" s="36"/>
      <c r="AU32" s="36"/>
      <c r="AV32" s="36"/>
      <c r="AW32" s="36"/>
      <c r="AX32" s="40"/>
      <c r="AY32" s="36"/>
      <c r="AZ32" s="36"/>
      <c r="BA32" s="36"/>
      <c r="BB32" s="36"/>
      <c r="BC32" s="36"/>
      <c r="BD32" s="36"/>
      <c r="BE32" s="36"/>
      <c r="BF32" s="36"/>
      <c r="BG32" s="36"/>
      <c r="BH32" s="36"/>
      <c r="BI32" s="36"/>
      <c r="BJ32" s="36"/>
      <c r="BK32" s="36"/>
      <c r="BL32" s="36"/>
      <c r="BM32" s="36"/>
      <c r="BN32" s="33"/>
      <c r="BO32" s="33"/>
      <c r="BP32" s="34"/>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6"/>
      <c r="GQ32" s="36"/>
      <c r="GR32" s="36"/>
      <c r="GS32" s="36"/>
      <c r="GT32" s="36"/>
      <c r="GU32" s="36"/>
      <c r="GV32" s="36"/>
      <c r="GW32" s="36"/>
      <c r="GX32" s="36"/>
      <c r="GY32" s="36"/>
      <c r="GZ32" s="36"/>
      <c r="HA32" s="36"/>
      <c r="HB32" s="36"/>
      <c r="HC32" s="36"/>
      <c r="HD32" s="36"/>
      <c r="HE32" s="36"/>
      <c r="HF32" s="36"/>
      <c r="HG32" s="36"/>
      <c r="HH32" s="36"/>
      <c r="HI32" s="36"/>
      <c r="HJ32" s="36"/>
      <c r="HK32" s="36"/>
      <c r="HL32" s="36"/>
      <c r="HM32" s="36"/>
      <c r="HN32" s="36"/>
      <c r="HO32" s="36"/>
      <c r="HP32" s="36"/>
      <c r="HQ32" s="36"/>
      <c r="HR32" s="36"/>
      <c r="HS32" s="36"/>
      <c r="HT32" s="36"/>
      <c r="HU32" s="36"/>
      <c r="HV32" s="2"/>
      <c r="HW32" s="36"/>
      <c r="HX32" s="36"/>
    </row>
    <row r="33" spans="1:232">
      <c r="A33" s="36"/>
      <c r="B33" s="30"/>
      <c r="C33" s="2"/>
      <c r="D33" s="37"/>
      <c r="E33" s="36"/>
      <c r="F33" s="36"/>
      <c r="G33" s="36"/>
      <c r="H33" s="36"/>
      <c r="I33" s="36"/>
      <c r="J33" s="36"/>
      <c r="K33" s="2"/>
      <c r="L33" s="29"/>
      <c r="M33" s="36"/>
      <c r="N33" s="30"/>
      <c r="O33" s="52"/>
      <c r="P33" s="28"/>
      <c r="Q33" s="36"/>
      <c r="R33" s="36"/>
      <c r="S33" s="2"/>
      <c r="T33" s="2"/>
      <c r="U33" s="36"/>
      <c r="V33" s="36"/>
      <c r="W33" s="36"/>
      <c r="X33" s="36"/>
      <c r="Y33" s="36"/>
      <c r="Z33" s="36"/>
      <c r="AA33" s="36"/>
      <c r="AB33" s="36"/>
      <c r="AC33" s="36"/>
      <c r="AD33" s="36"/>
      <c r="AE33" s="36"/>
      <c r="AF33" s="39"/>
      <c r="AG33" s="36"/>
      <c r="AH33" s="36"/>
      <c r="AI33" s="36"/>
      <c r="AJ33" s="36"/>
      <c r="AK33" s="36"/>
      <c r="AL33" s="36"/>
      <c r="AM33" s="36"/>
      <c r="AN33" s="36"/>
      <c r="AO33" s="36"/>
      <c r="AP33" s="36"/>
      <c r="AQ33" s="36"/>
      <c r="AR33" s="36"/>
      <c r="AS33" s="36"/>
      <c r="AT33" s="36"/>
      <c r="AU33" s="36"/>
      <c r="AV33" s="36"/>
      <c r="AW33" s="36"/>
      <c r="AX33" s="40"/>
      <c r="AY33" s="36"/>
      <c r="AZ33" s="36"/>
      <c r="BA33" s="36"/>
      <c r="BB33" s="36"/>
      <c r="BC33" s="36"/>
      <c r="BD33" s="36"/>
      <c r="BE33" s="36"/>
      <c r="BF33" s="36"/>
      <c r="BG33" s="36"/>
      <c r="BH33" s="36"/>
      <c r="BI33" s="36"/>
      <c r="BJ33" s="36"/>
      <c r="BK33" s="36"/>
      <c r="BL33" s="36"/>
      <c r="BM33" s="36"/>
      <c r="BN33" s="33"/>
      <c r="BO33" s="33"/>
      <c r="BP33" s="34"/>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c r="HA33" s="36"/>
      <c r="HB33" s="36"/>
      <c r="HC33" s="36"/>
      <c r="HD33" s="36"/>
      <c r="HE33" s="36"/>
      <c r="HF33" s="36"/>
      <c r="HG33" s="36"/>
      <c r="HH33" s="36"/>
      <c r="HI33" s="36"/>
      <c r="HJ33" s="36"/>
      <c r="HK33" s="36"/>
      <c r="HL33" s="36"/>
      <c r="HM33" s="36"/>
      <c r="HN33" s="36"/>
      <c r="HO33" s="36"/>
      <c r="HP33" s="36"/>
      <c r="HQ33" s="36"/>
      <c r="HR33" s="36"/>
      <c r="HS33" s="36"/>
      <c r="HT33" s="36"/>
      <c r="HU33" s="36"/>
      <c r="HV33" s="2"/>
      <c r="HW33" s="36"/>
      <c r="HX33" s="36"/>
    </row>
    <row r="34" spans="1:232">
      <c r="A34" s="36"/>
      <c r="B34" s="30"/>
      <c r="C34" s="2"/>
      <c r="D34" s="37"/>
      <c r="E34" s="36"/>
      <c r="F34" s="36"/>
      <c r="G34" s="36"/>
      <c r="H34" s="36"/>
      <c r="I34" s="36"/>
      <c r="J34" s="36"/>
      <c r="K34" s="2"/>
      <c r="L34" s="37"/>
      <c r="M34" s="62"/>
      <c r="N34" s="30"/>
      <c r="O34" s="52"/>
      <c r="P34" s="28"/>
      <c r="Q34" s="36"/>
      <c r="R34" s="2"/>
      <c r="S34" s="2"/>
      <c r="T34" s="2"/>
      <c r="U34" s="36"/>
      <c r="V34" s="36"/>
      <c r="W34" s="36"/>
      <c r="X34" s="36"/>
      <c r="Y34" s="36"/>
      <c r="Z34" s="36"/>
      <c r="AA34" s="36"/>
      <c r="AB34" s="36"/>
      <c r="AC34" s="36"/>
      <c r="AD34" s="36"/>
      <c r="AE34" s="36"/>
      <c r="AF34" s="39"/>
      <c r="AG34" s="36"/>
      <c r="AH34" s="36"/>
      <c r="AI34" s="36"/>
      <c r="AJ34" s="36"/>
      <c r="AK34" s="36"/>
      <c r="AL34" s="36"/>
      <c r="AM34" s="36"/>
      <c r="AN34" s="36"/>
      <c r="AO34" s="36"/>
      <c r="AP34" s="36"/>
      <c r="AQ34" s="36"/>
      <c r="AR34" s="36"/>
      <c r="AS34" s="36"/>
      <c r="AT34" s="36"/>
      <c r="AU34" s="36"/>
      <c r="AV34" s="36"/>
      <c r="AW34" s="36"/>
      <c r="AX34" s="40"/>
      <c r="AY34" s="36"/>
      <c r="AZ34" s="36"/>
      <c r="BA34" s="36"/>
      <c r="BB34" s="36"/>
      <c r="BC34" s="36"/>
      <c r="BD34" s="36"/>
      <c r="BE34" s="36"/>
      <c r="BF34" s="36"/>
      <c r="BG34" s="36"/>
      <c r="BH34" s="36"/>
      <c r="BI34" s="36"/>
      <c r="BJ34" s="36"/>
      <c r="BK34" s="36"/>
      <c r="BL34" s="36"/>
      <c r="BM34" s="36"/>
      <c r="BN34" s="33"/>
      <c r="BO34" s="43"/>
      <c r="BP34" s="47"/>
      <c r="BQ34" s="36"/>
      <c r="BR34" s="42"/>
      <c r="BS34" s="36"/>
      <c r="BT34" s="42"/>
      <c r="BU34" s="42"/>
      <c r="BV34" s="2"/>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42"/>
      <c r="DR34" s="42"/>
      <c r="DS34" s="42"/>
      <c r="DT34" s="42"/>
      <c r="DU34" s="42"/>
      <c r="DV34" s="42"/>
      <c r="DW34" s="42"/>
      <c r="DX34" s="42"/>
      <c r="DY34" s="42"/>
      <c r="DZ34" s="42"/>
      <c r="EA34" s="42"/>
      <c r="EB34" s="42"/>
      <c r="EC34" s="42"/>
      <c r="ED34" s="42"/>
      <c r="EE34" s="42"/>
      <c r="EF34" s="42"/>
      <c r="EG34" s="42"/>
      <c r="EH34" s="42"/>
      <c r="EI34" s="42"/>
      <c r="EJ34" s="36"/>
      <c r="EK34" s="42"/>
      <c r="EL34" s="42"/>
      <c r="EM34" s="42"/>
      <c r="EN34" s="42"/>
      <c r="EO34" s="42"/>
      <c r="EP34" s="42"/>
      <c r="EQ34" s="42"/>
      <c r="ER34" s="42"/>
      <c r="ES34" s="42"/>
      <c r="ET34" s="42"/>
      <c r="EU34" s="42"/>
      <c r="EV34" s="42"/>
      <c r="EW34" s="42"/>
      <c r="EX34" s="42"/>
      <c r="EY34" s="42"/>
      <c r="EZ34" s="42"/>
      <c r="FA34" s="42"/>
      <c r="FB34" s="36"/>
      <c r="FC34" s="42"/>
      <c r="FD34" s="42"/>
      <c r="FE34" s="42"/>
      <c r="FF34" s="36"/>
      <c r="FG34" s="42"/>
      <c r="FH34" s="42"/>
      <c r="FI34" s="42"/>
      <c r="FJ34" s="36"/>
      <c r="FK34" s="36"/>
      <c r="FL34" s="36"/>
      <c r="FM34" s="36"/>
      <c r="FN34" s="36"/>
      <c r="FO34" s="36"/>
      <c r="FP34" s="36"/>
      <c r="FQ34" s="36"/>
      <c r="FR34" s="36"/>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36"/>
      <c r="HI34" s="42"/>
      <c r="HJ34" s="42"/>
      <c r="HK34" s="42"/>
      <c r="HL34" s="36"/>
      <c r="HM34" s="42"/>
      <c r="HN34" s="42"/>
      <c r="HO34" s="42"/>
      <c r="HP34" s="36"/>
      <c r="HQ34" s="42"/>
      <c r="HR34" s="42"/>
      <c r="HS34" s="36"/>
      <c r="HT34" s="36"/>
      <c r="HU34" s="42"/>
      <c r="HV34" s="2"/>
      <c r="HW34" s="36"/>
      <c r="HX34" s="36"/>
    </row>
    <row r="35" spans="1:232">
      <c r="A35" s="36"/>
      <c r="B35" s="30"/>
      <c r="C35" s="36"/>
      <c r="D35" s="37"/>
      <c r="E35" s="36"/>
      <c r="F35" s="36"/>
      <c r="G35" s="36"/>
      <c r="H35" s="36"/>
      <c r="I35" s="36"/>
      <c r="J35" s="36"/>
      <c r="K35" s="2"/>
      <c r="L35" s="37"/>
      <c r="M35" s="62"/>
      <c r="N35" s="30"/>
      <c r="O35" s="52"/>
      <c r="P35" s="28"/>
      <c r="Q35" s="36"/>
      <c r="R35" s="36"/>
      <c r="S35" s="2"/>
      <c r="T35" s="2"/>
      <c r="U35" s="36"/>
      <c r="V35" s="36"/>
      <c r="W35" s="36"/>
      <c r="X35" s="36"/>
      <c r="Y35" s="36"/>
      <c r="Z35" s="36"/>
      <c r="AA35" s="36"/>
      <c r="AB35" s="36"/>
      <c r="AC35" s="36"/>
      <c r="AD35" s="36"/>
      <c r="AE35" s="36"/>
      <c r="AF35" s="39"/>
      <c r="AG35" s="36"/>
      <c r="AH35" s="36"/>
      <c r="AI35" s="36"/>
      <c r="AJ35" s="36"/>
      <c r="AK35" s="36"/>
      <c r="AL35" s="36"/>
      <c r="AM35" s="36"/>
      <c r="AN35" s="36"/>
      <c r="AO35" s="36"/>
      <c r="AP35" s="36"/>
      <c r="AQ35" s="36"/>
      <c r="AR35" s="36"/>
      <c r="AS35" s="36"/>
      <c r="AT35" s="36"/>
      <c r="AU35" s="36"/>
      <c r="AV35" s="36"/>
      <c r="AW35" s="36"/>
      <c r="AX35" s="40"/>
      <c r="AY35" s="36"/>
      <c r="AZ35" s="36"/>
      <c r="BA35" s="36"/>
      <c r="BB35" s="36"/>
      <c r="BC35" s="36"/>
      <c r="BD35" s="36"/>
      <c r="BE35" s="36"/>
      <c r="BF35" s="36"/>
      <c r="BG35" s="36"/>
      <c r="BH35" s="36"/>
      <c r="BI35" s="36"/>
      <c r="BJ35" s="36"/>
      <c r="BK35" s="36"/>
      <c r="BL35" s="36"/>
      <c r="BM35" s="36"/>
      <c r="BN35" s="33"/>
      <c r="BO35" s="43"/>
      <c r="BP35" s="47"/>
      <c r="BQ35" s="36"/>
      <c r="BR35" s="52"/>
      <c r="BS35" s="28"/>
      <c r="BT35" s="2"/>
      <c r="BU35" s="36"/>
      <c r="BV35" s="54"/>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42"/>
      <c r="DR35" s="42"/>
      <c r="DS35" s="36"/>
      <c r="DT35" s="36"/>
      <c r="DU35" s="36"/>
      <c r="DV35" s="42"/>
      <c r="DW35" s="42"/>
      <c r="DX35" s="42"/>
      <c r="DY35" s="42"/>
      <c r="DZ35" s="42"/>
      <c r="EA35" s="42"/>
      <c r="EB35" s="42"/>
      <c r="EC35" s="42"/>
      <c r="ED35" s="42"/>
      <c r="EE35" s="42"/>
      <c r="EF35" s="42"/>
      <c r="EG35" s="42"/>
      <c r="EH35" s="42"/>
      <c r="EI35" s="42"/>
      <c r="EJ35" s="36"/>
      <c r="EK35" s="42"/>
      <c r="EL35" s="42"/>
      <c r="EM35" s="42"/>
      <c r="EN35" s="42"/>
      <c r="EO35" s="42"/>
      <c r="EP35" s="42"/>
      <c r="EQ35" s="42"/>
      <c r="ER35" s="42"/>
      <c r="ES35" s="42"/>
      <c r="ET35" s="42"/>
      <c r="EU35" s="42"/>
      <c r="EV35" s="42"/>
      <c r="EW35" s="42"/>
      <c r="EX35" s="42"/>
      <c r="EY35" s="42"/>
      <c r="EZ35" s="42"/>
      <c r="FA35" s="42"/>
      <c r="FB35" s="36"/>
      <c r="FC35" s="42"/>
      <c r="FD35" s="42"/>
      <c r="FE35" s="42"/>
      <c r="FF35" s="36"/>
      <c r="FG35" s="42"/>
      <c r="FH35" s="42"/>
      <c r="FI35" s="42"/>
      <c r="FJ35" s="36"/>
      <c r="FK35" s="36"/>
      <c r="FL35" s="36"/>
      <c r="FM35" s="36"/>
      <c r="FN35" s="36"/>
      <c r="FO35" s="36"/>
      <c r="FP35" s="36"/>
      <c r="FQ35" s="36"/>
      <c r="FR35" s="36"/>
      <c r="FS35" s="42"/>
      <c r="FT35" s="42"/>
      <c r="FU35" s="42"/>
      <c r="FV35" s="42"/>
      <c r="FW35" s="42"/>
      <c r="FX35" s="42"/>
      <c r="FY35" s="42"/>
      <c r="FZ35" s="42"/>
      <c r="GA35" s="42"/>
      <c r="GB35" s="42"/>
      <c r="GC35" s="42"/>
      <c r="GD35" s="42"/>
      <c r="GE35" s="42"/>
      <c r="GF35" s="42"/>
      <c r="GG35" s="42"/>
      <c r="GH35" s="42"/>
      <c r="GI35" s="42"/>
      <c r="GJ35" s="42"/>
      <c r="GK35" s="42"/>
      <c r="GL35" s="42"/>
      <c r="GM35" s="42"/>
      <c r="GN35" s="42"/>
      <c r="GO35" s="42"/>
      <c r="GP35" s="42"/>
      <c r="GQ35" s="42"/>
      <c r="GR35" s="42"/>
      <c r="GS35" s="42"/>
      <c r="GT35" s="42"/>
      <c r="GU35" s="42"/>
      <c r="GV35" s="42"/>
      <c r="GW35" s="42"/>
      <c r="GX35" s="42"/>
      <c r="GY35" s="42"/>
      <c r="GZ35" s="42"/>
      <c r="HA35" s="42"/>
      <c r="HB35" s="42"/>
      <c r="HC35" s="42"/>
      <c r="HD35" s="42"/>
      <c r="HE35" s="42"/>
      <c r="HF35" s="42"/>
      <c r="HG35" s="42"/>
      <c r="HH35" s="36"/>
      <c r="HI35" s="42"/>
      <c r="HJ35" s="42"/>
      <c r="HK35" s="42"/>
      <c r="HL35" s="36"/>
      <c r="HM35" s="42"/>
      <c r="HN35" s="42"/>
      <c r="HO35" s="42"/>
      <c r="HP35" s="36"/>
      <c r="HQ35" s="42"/>
      <c r="HR35" s="42"/>
      <c r="HS35" s="36"/>
      <c r="HT35" s="36"/>
      <c r="HU35" s="42"/>
      <c r="HV35" s="2"/>
      <c r="HW35" s="36"/>
      <c r="HX35" s="36"/>
    </row>
    <row r="36" spans="1:232">
      <c r="A36" s="36"/>
      <c r="B36" s="30"/>
      <c r="C36" s="2"/>
      <c r="D36" s="37"/>
      <c r="E36" s="36"/>
      <c r="F36" s="36"/>
      <c r="G36" s="36"/>
      <c r="H36" s="2"/>
      <c r="I36" s="36"/>
      <c r="J36" s="36"/>
      <c r="K36" s="2"/>
      <c r="L36" s="29"/>
      <c r="M36" s="42"/>
      <c r="N36" s="30"/>
      <c r="O36" s="52"/>
      <c r="P36" s="36"/>
      <c r="Q36" s="2"/>
      <c r="R36" s="36"/>
      <c r="S36" s="2"/>
      <c r="T36" s="2"/>
      <c r="U36" s="36"/>
      <c r="V36" s="36"/>
      <c r="W36" s="36"/>
      <c r="X36" s="36"/>
      <c r="Y36" s="36"/>
      <c r="Z36" s="36"/>
      <c r="AA36" s="36"/>
      <c r="AB36" s="36"/>
      <c r="AC36" s="36"/>
      <c r="AD36" s="36"/>
      <c r="AE36" s="36"/>
      <c r="AF36" s="39"/>
      <c r="AG36" s="36"/>
      <c r="AH36" s="36"/>
      <c r="AI36" s="36"/>
      <c r="AJ36" s="36"/>
      <c r="AK36" s="36"/>
      <c r="AL36" s="36"/>
      <c r="AM36" s="36"/>
      <c r="AN36" s="36"/>
      <c r="AO36" s="36"/>
      <c r="AP36" s="36"/>
      <c r="AQ36" s="36"/>
      <c r="AR36" s="36"/>
      <c r="AS36" s="36"/>
      <c r="AT36" s="36"/>
      <c r="AU36" s="36"/>
      <c r="AV36" s="36"/>
      <c r="AW36" s="36"/>
      <c r="AX36" s="40"/>
      <c r="AY36" s="36"/>
      <c r="AZ36" s="36"/>
      <c r="BA36" s="36"/>
      <c r="BB36" s="36"/>
      <c r="BC36" s="36"/>
      <c r="BD36" s="36"/>
      <c r="BE36" s="36"/>
      <c r="BF36" s="36"/>
      <c r="BG36" s="36"/>
      <c r="BH36" s="36"/>
      <c r="BI36" s="36"/>
      <c r="BJ36" s="36"/>
      <c r="BK36" s="36"/>
      <c r="BL36" s="36"/>
      <c r="BM36" s="36"/>
      <c r="BN36" s="33"/>
      <c r="BO36" s="43"/>
      <c r="BP36" s="47"/>
      <c r="BQ36" s="42"/>
      <c r="BR36" s="42"/>
      <c r="BS36" s="42"/>
      <c r="BT36" s="42"/>
      <c r="BU36" s="42"/>
      <c r="BV36" s="42"/>
      <c r="BW36" s="42"/>
      <c r="BX36" s="42"/>
      <c r="BY36" s="42"/>
      <c r="BZ36" s="42"/>
      <c r="CA36" s="42"/>
      <c r="CB36" s="42"/>
      <c r="CC36" s="42"/>
      <c r="CD36" s="42"/>
      <c r="CE36" s="42"/>
      <c r="CF36" s="42"/>
      <c r="CG36" s="42"/>
      <c r="CH36" s="36"/>
      <c r="CI36" s="42"/>
      <c r="CJ36" s="42"/>
      <c r="CK36" s="42"/>
      <c r="CL36" s="42"/>
      <c r="CM36" s="42"/>
      <c r="CN36" s="42"/>
      <c r="CO36" s="42"/>
      <c r="CP36" s="42"/>
      <c r="CQ36" s="42"/>
      <c r="CR36" s="42"/>
      <c r="CS36" s="42"/>
      <c r="CT36" s="42"/>
      <c r="CU36" s="42"/>
      <c r="CV36" s="42"/>
      <c r="CW36" s="42"/>
      <c r="CX36" s="42"/>
      <c r="CY36" s="42"/>
      <c r="CZ36" s="36"/>
      <c r="DA36" s="36"/>
      <c r="DB36" s="36"/>
      <c r="DC36" s="36"/>
      <c r="DD36" s="36"/>
      <c r="DE36" s="36"/>
      <c r="DF36" s="36"/>
      <c r="DG36" s="36"/>
      <c r="DH36" s="36"/>
      <c r="DI36" s="36"/>
      <c r="DJ36" s="36"/>
      <c r="DK36" s="36"/>
      <c r="DL36" s="36"/>
      <c r="DM36" s="36"/>
      <c r="DN36" s="36"/>
      <c r="DO36" s="36"/>
      <c r="DP36" s="36"/>
      <c r="DQ36" s="42"/>
      <c r="DR36" s="42"/>
      <c r="DS36" s="42"/>
      <c r="DT36" s="42"/>
      <c r="DU36" s="42"/>
      <c r="DV36" s="42"/>
      <c r="DW36" s="42"/>
      <c r="DX36" s="42"/>
      <c r="DY36" s="42"/>
      <c r="DZ36" s="42"/>
      <c r="EA36" s="42"/>
      <c r="EB36" s="42"/>
      <c r="EC36" s="42"/>
      <c r="ED36" s="42"/>
      <c r="EE36" s="42"/>
      <c r="EF36" s="42"/>
      <c r="EG36" s="42"/>
      <c r="EH36" s="42"/>
      <c r="EI36" s="42"/>
      <c r="EJ36" s="36"/>
      <c r="EK36" s="42"/>
      <c r="EL36" s="42"/>
      <c r="EM36" s="42"/>
      <c r="EN36" s="42"/>
      <c r="EO36" s="42"/>
      <c r="EP36" s="42"/>
      <c r="EQ36" s="42"/>
      <c r="ER36" s="42"/>
      <c r="ES36" s="42"/>
      <c r="ET36" s="42"/>
      <c r="EU36" s="42"/>
      <c r="EV36" s="42"/>
      <c r="EW36" s="42"/>
      <c r="EX36" s="42"/>
      <c r="EY36" s="42"/>
      <c r="EZ36" s="42"/>
      <c r="FA36" s="42"/>
      <c r="FB36" s="36"/>
      <c r="FC36" s="42"/>
      <c r="FD36" s="42"/>
      <c r="FE36" s="42"/>
      <c r="FF36" s="42"/>
      <c r="FG36" s="42"/>
      <c r="FH36" s="42"/>
      <c r="FI36" s="42"/>
      <c r="FJ36" s="36"/>
      <c r="FK36" s="36"/>
      <c r="FL36" s="36"/>
      <c r="FM36" s="36"/>
      <c r="FN36" s="36"/>
      <c r="FO36" s="36"/>
      <c r="FP36" s="36"/>
      <c r="FQ36" s="36"/>
      <c r="FR36" s="36"/>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36"/>
      <c r="HI36" s="42"/>
      <c r="HJ36" s="42"/>
      <c r="HK36" s="42"/>
      <c r="HL36" s="36"/>
      <c r="HM36" s="42"/>
      <c r="HN36" s="42"/>
      <c r="HO36" s="42"/>
      <c r="HP36" s="36"/>
      <c r="HQ36" s="42"/>
      <c r="HR36" s="42"/>
      <c r="HS36" s="36"/>
      <c r="HT36" s="36"/>
      <c r="HU36" s="42"/>
      <c r="HV36" s="2"/>
      <c r="HW36" s="42"/>
      <c r="HX36" s="42"/>
    </row>
    <row r="37" spans="1:232">
      <c r="A37" s="36"/>
      <c r="B37" s="30"/>
      <c r="C37" s="36"/>
      <c r="D37" s="37"/>
      <c r="E37" s="36"/>
      <c r="F37" s="36"/>
      <c r="G37" s="36"/>
      <c r="H37" s="36"/>
      <c r="I37" s="36"/>
      <c r="J37" s="36"/>
      <c r="K37" s="2"/>
      <c r="L37" s="29"/>
      <c r="M37" s="42"/>
      <c r="N37" s="30"/>
      <c r="O37" s="52"/>
      <c r="P37" s="36"/>
      <c r="Q37" s="36"/>
      <c r="R37" s="36"/>
      <c r="S37" s="2"/>
      <c r="T37" s="2"/>
      <c r="U37" s="36"/>
      <c r="V37" s="36"/>
      <c r="W37" s="36"/>
      <c r="X37" s="36"/>
      <c r="Y37" s="36"/>
      <c r="Z37" s="36"/>
      <c r="AA37" s="36"/>
      <c r="AB37" s="36"/>
      <c r="AC37" s="36"/>
      <c r="AD37" s="36"/>
      <c r="AE37" s="36"/>
      <c r="AF37" s="39"/>
      <c r="AG37" s="36"/>
      <c r="AH37" s="36"/>
      <c r="AI37" s="36"/>
      <c r="AJ37" s="36"/>
      <c r="AK37" s="36"/>
      <c r="AL37" s="36"/>
      <c r="AM37" s="36"/>
      <c r="AN37" s="36"/>
      <c r="AO37" s="36"/>
      <c r="AP37" s="36"/>
      <c r="AQ37" s="36"/>
      <c r="AR37" s="36"/>
      <c r="AS37" s="36"/>
      <c r="AT37" s="36"/>
      <c r="AU37" s="36"/>
      <c r="AV37" s="36"/>
      <c r="AW37" s="36"/>
      <c r="AX37" s="40"/>
      <c r="AY37" s="36"/>
      <c r="AZ37" s="36"/>
      <c r="BA37" s="36"/>
      <c r="BB37" s="36"/>
      <c r="BC37" s="36"/>
      <c r="BD37" s="36"/>
      <c r="BE37" s="36"/>
      <c r="BF37" s="36"/>
      <c r="BG37" s="36"/>
      <c r="BH37" s="36"/>
      <c r="BI37" s="36"/>
      <c r="BJ37" s="36"/>
      <c r="BK37" s="36"/>
      <c r="BL37" s="36"/>
      <c r="BM37" s="36"/>
      <c r="BN37" s="33"/>
      <c r="BO37" s="43"/>
      <c r="BP37" s="47"/>
      <c r="BQ37" s="42"/>
      <c r="BR37" s="42"/>
      <c r="BS37" s="42"/>
      <c r="BT37" s="42"/>
      <c r="BU37" s="42"/>
      <c r="BV37" s="42"/>
      <c r="BW37" s="42"/>
      <c r="BX37" s="42"/>
      <c r="BY37" s="42"/>
      <c r="BZ37" s="42"/>
      <c r="CA37" s="42"/>
      <c r="CB37" s="42"/>
      <c r="CC37" s="42"/>
      <c r="CD37" s="42"/>
      <c r="CE37" s="42"/>
      <c r="CF37" s="42"/>
      <c r="CG37" s="42"/>
      <c r="CH37" s="36"/>
      <c r="CI37" s="42"/>
      <c r="CJ37" s="42"/>
      <c r="CK37" s="42"/>
      <c r="CL37" s="42"/>
      <c r="CM37" s="42"/>
      <c r="CN37" s="42"/>
      <c r="CO37" s="42"/>
      <c r="CP37" s="42"/>
      <c r="CQ37" s="42"/>
      <c r="CR37" s="42"/>
      <c r="CS37" s="42"/>
      <c r="CT37" s="42"/>
      <c r="CU37" s="42"/>
      <c r="CV37" s="42"/>
      <c r="CW37" s="42"/>
      <c r="CX37" s="42"/>
      <c r="CY37" s="42"/>
      <c r="CZ37" s="36"/>
      <c r="DA37" s="36"/>
      <c r="DB37" s="36"/>
      <c r="DC37" s="36"/>
      <c r="DD37" s="36"/>
      <c r="DE37" s="36"/>
      <c r="DF37" s="36"/>
      <c r="DG37" s="36"/>
      <c r="DH37" s="36"/>
      <c r="DI37" s="36"/>
      <c r="DJ37" s="36"/>
      <c r="DK37" s="36"/>
      <c r="DL37" s="36"/>
      <c r="DM37" s="36"/>
      <c r="DN37" s="36"/>
      <c r="DO37" s="36"/>
      <c r="DP37" s="36"/>
      <c r="DQ37" s="42"/>
      <c r="DR37" s="42"/>
      <c r="DS37" s="42"/>
      <c r="DT37" s="42"/>
      <c r="DU37" s="42"/>
      <c r="DV37" s="42"/>
      <c r="DW37" s="42"/>
      <c r="DX37" s="42"/>
      <c r="DY37" s="42"/>
      <c r="DZ37" s="42"/>
      <c r="EA37" s="42"/>
      <c r="EB37" s="42"/>
      <c r="EC37" s="42"/>
      <c r="ED37" s="42"/>
      <c r="EE37" s="42"/>
      <c r="EF37" s="42"/>
      <c r="EG37" s="42"/>
      <c r="EH37" s="42"/>
      <c r="EI37" s="42"/>
      <c r="EJ37" s="36"/>
      <c r="EK37" s="42"/>
      <c r="EL37" s="42"/>
      <c r="EM37" s="42"/>
      <c r="EN37" s="42"/>
      <c r="EO37" s="42"/>
      <c r="EP37" s="42"/>
      <c r="EQ37" s="42"/>
      <c r="ER37" s="42"/>
      <c r="ES37" s="42"/>
      <c r="ET37" s="42"/>
      <c r="EU37" s="42"/>
      <c r="EV37" s="42"/>
      <c r="EW37" s="42"/>
      <c r="EX37" s="42"/>
      <c r="EY37" s="42"/>
      <c r="EZ37" s="42"/>
      <c r="FA37" s="42"/>
      <c r="FB37" s="36"/>
      <c r="FC37" s="42"/>
      <c r="FD37" s="42"/>
      <c r="FE37" s="42"/>
      <c r="FF37" s="42"/>
      <c r="FG37" s="42"/>
      <c r="FH37" s="42"/>
      <c r="FI37" s="42"/>
      <c r="FJ37" s="36"/>
      <c r="FK37" s="36"/>
      <c r="FL37" s="36"/>
      <c r="FM37" s="36"/>
      <c r="FN37" s="36"/>
      <c r="FO37" s="36"/>
      <c r="FP37" s="36"/>
      <c r="FQ37" s="36"/>
      <c r="FR37" s="36"/>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36"/>
      <c r="HI37" s="42"/>
      <c r="HJ37" s="42"/>
      <c r="HK37" s="42"/>
      <c r="HL37" s="36"/>
      <c r="HM37" s="42"/>
      <c r="HN37" s="42"/>
      <c r="HO37" s="42"/>
      <c r="HP37" s="36"/>
      <c r="HQ37" s="42"/>
      <c r="HR37" s="42"/>
      <c r="HS37" s="36"/>
      <c r="HT37" s="36"/>
      <c r="HU37" s="42"/>
      <c r="HV37" s="2"/>
      <c r="HW37" s="42"/>
      <c r="HX37" s="42"/>
    </row>
    <row r="38" spans="1:232">
      <c r="A38" s="36"/>
      <c r="B38" s="30"/>
      <c r="C38" s="6"/>
      <c r="D38" s="37"/>
      <c r="E38" s="6"/>
      <c r="F38" s="6"/>
      <c r="G38" s="6"/>
      <c r="H38" s="6"/>
      <c r="I38" s="4"/>
      <c r="J38" s="4"/>
      <c r="K38" s="6"/>
      <c r="L38" s="20"/>
      <c r="N38" s="7"/>
      <c r="O38" s="27"/>
      <c r="P38" s="6"/>
      <c r="Q38" s="36"/>
      <c r="R38" s="4"/>
      <c r="S38" s="4"/>
      <c r="T38" s="4"/>
      <c r="U38" s="6"/>
      <c r="V38" s="6"/>
      <c r="W38" s="6"/>
      <c r="X38" s="6"/>
      <c r="Y38" s="6"/>
      <c r="Z38" s="6"/>
      <c r="AA38" s="6"/>
      <c r="AB38" s="6"/>
      <c r="AC38" s="6"/>
      <c r="AD38" s="6"/>
      <c r="AE38" s="6"/>
      <c r="AF38" s="39"/>
      <c r="AG38" s="6"/>
      <c r="AH38" s="6"/>
      <c r="AI38" s="6"/>
      <c r="AJ38" s="6"/>
      <c r="AK38" s="6"/>
      <c r="AL38" s="6"/>
      <c r="AM38" s="6"/>
      <c r="AN38" s="6"/>
      <c r="AO38" s="6"/>
      <c r="AP38" s="6"/>
      <c r="AQ38" s="6"/>
      <c r="AR38" s="6"/>
      <c r="AS38" s="6"/>
      <c r="AT38" s="6"/>
      <c r="AU38" s="6"/>
      <c r="AV38" s="6"/>
      <c r="AW38" s="6"/>
      <c r="AX38" s="40"/>
      <c r="BB38" s="36"/>
      <c r="BF38" s="36"/>
      <c r="BJ38" s="36"/>
      <c r="BM38" s="67"/>
      <c r="BN38" s="33"/>
      <c r="CH38" s="36"/>
      <c r="CZ38" s="36"/>
      <c r="DD38" s="36"/>
      <c r="DH38" s="36"/>
      <c r="DL38" s="36"/>
      <c r="DO38" s="36"/>
      <c r="DP38" s="36"/>
      <c r="EJ38" s="36"/>
      <c r="FB38" s="36"/>
      <c r="FJ38" s="36"/>
      <c r="FK38" s="6"/>
      <c r="FL38" s="6"/>
      <c r="FM38" s="6"/>
      <c r="FN38" s="36"/>
      <c r="FO38" s="6"/>
      <c r="FP38" s="6"/>
      <c r="FQ38" s="36"/>
      <c r="FR38" s="36"/>
      <c r="HL38" s="36"/>
      <c r="HP38" s="36"/>
      <c r="HT38" s="36"/>
    </row>
    <row r="39" spans="1:232">
      <c r="A39" s="6"/>
      <c r="B39" s="30"/>
      <c r="C39" s="4"/>
      <c r="D39" s="37"/>
      <c r="E39" s="6"/>
      <c r="F39" s="6"/>
      <c r="G39" s="6"/>
      <c r="H39" s="6"/>
      <c r="I39" s="4"/>
      <c r="J39" s="6"/>
      <c r="K39" s="4"/>
      <c r="L39" s="65"/>
      <c r="N39" s="7"/>
      <c r="O39" s="27"/>
      <c r="P39" s="6"/>
      <c r="Q39" s="36"/>
      <c r="R39" s="6"/>
      <c r="S39" s="4"/>
      <c r="T39" s="4"/>
      <c r="U39" s="6"/>
      <c r="V39" s="6"/>
      <c r="W39" s="6"/>
      <c r="X39" s="6"/>
      <c r="Y39" s="6"/>
      <c r="Z39" s="6"/>
      <c r="AA39" s="6"/>
      <c r="AB39" s="6"/>
      <c r="AC39" s="6"/>
      <c r="AD39" s="6"/>
      <c r="AE39" s="6"/>
      <c r="AF39" s="39"/>
      <c r="AG39" s="6"/>
      <c r="AH39" s="6"/>
      <c r="AI39" s="6"/>
      <c r="AJ39" s="6"/>
      <c r="AK39" s="6"/>
      <c r="AL39" s="6"/>
      <c r="AM39" s="6"/>
      <c r="AN39" s="6"/>
      <c r="AO39" s="6"/>
      <c r="AP39" s="6"/>
      <c r="AQ39" s="6"/>
      <c r="AR39" s="6"/>
      <c r="AS39" s="6"/>
      <c r="AT39" s="6"/>
      <c r="AU39" s="6"/>
      <c r="AV39" s="6"/>
      <c r="AW39" s="6"/>
      <c r="AX39" s="40"/>
      <c r="BB39" s="36"/>
      <c r="BF39" s="36"/>
      <c r="BJ39" s="36"/>
      <c r="BM39" s="36"/>
      <c r="BN39" s="33"/>
      <c r="CH39" s="36"/>
      <c r="CZ39" s="36"/>
      <c r="DD39" s="36"/>
      <c r="DH39" s="36"/>
      <c r="DL39" s="36"/>
      <c r="DO39" s="36"/>
      <c r="DP39" s="36"/>
      <c r="EJ39" s="36"/>
      <c r="FB39" s="36"/>
    </row>
    <row r="40" spans="1:232">
      <c r="A40" s="6"/>
      <c r="B40" s="30"/>
      <c r="C40" s="6"/>
      <c r="D40" s="65"/>
      <c r="E40" s="6"/>
      <c r="F40" s="6"/>
      <c r="G40" s="6"/>
      <c r="H40" s="6"/>
      <c r="I40" s="6"/>
      <c r="J40" s="4"/>
      <c r="K40" s="4"/>
      <c r="L40" s="65"/>
      <c r="M40" s="6"/>
      <c r="N40" s="7"/>
      <c r="O40" s="27"/>
      <c r="P40" s="6"/>
      <c r="Q40" s="36"/>
      <c r="R40" s="36"/>
      <c r="S40" s="54"/>
      <c r="T40" s="54"/>
      <c r="U40" s="6"/>
      <c r="V40" s="6"/>
      <c r="W40" s="6"/>
      <c r="X40" s="6"/>
      <c r="Y40" s="6"/>
      <c r="Z40" s="6"/>
      <c r="AA40" s="6"/>
      <c r="AB40" s="6"/>
      <c r="AC40" s="6"/>
      <c r="AD40" s="6"/>
      <c r="AE40" s="6"/>
      <c r="AF40" s="39"/>
      <c r="AG40" s="6"/>
      <c r="AH40" s="6"/>
      <c r="AI40" s="6"/>
      <c r="AJ40" s="6"/>
      <c r="AK40" s="6"/>
      <c r="AL40" s="6"/>
      <c r="AM40" s="6"/>
      <c r="AN40" s="6"/>
      <c r="AO40" s="6"/>
      <c r="AP40" s="6"/>
      <c r="AQ40" s="6"/>
      <c r="AR40" s="6"/>
      <c r="AS40" s="6"/>
      <c r="AT40" s="6"/>
      <c r="AU40" s="6"/>
      <c r="AV40" s="6"/>
      <c r="AW40" s="6"/>
      <c r="AX40" s="40"/>
      <c r="BB40" s="36"/>
      <c r="BF40" s="36"/>
      <c r="BJ40" s="36"/>
      <c r="BM40" s="36"/>
      <c r="BN40" s="33"/>
      <c r="BQ40" s="6"/>
      <c r="CH40" s="36"/>
      <c r="CZ40" s="36"/>
      <c r="DL40" s="36"/>
      <c r="DO40" s="36"/>
      <c r="DP40" s="36"/>
      <c r="DS40" s="6"/>
      <c r="DT40" s="27"/>
      <c r="DU40" s="66"/>
      <c r="DX40" s="4"/>
      <c r="DY40" s="68"/>
      <c r="DZ40" s="68"/>
      <c r="EA40" s="68"/>
      <c r="EB40" s="68"/>
      <c r="EC40" s="68"/>
      <c r="ED40" s="68"/>
      <c r="EE40" s="68"/>
      <c r="EF40" s="68"/>
      <c r="EG40" s="68"/>
      <c r="EH40" s="68"/>
      <c r="EI40" s="68"/>
      <c r="EJ40" s="36"/>
      <c r="EK40" s="68"/>
      <c r="EL40" s="68"/>
      <c r="EM40" s="68"/>
      <c r="EN40" s="68"/>
      <c r="EO40" s="68"/>
      <c r="EP40" s="68"/>
      <c r="EQ40" s="68"/>
      <c r="ER40" s="68"/>
      <c r="ES40" s="68"/>
      <c r="ET40" s="68"/>
      <c r="EU40" s="68"/>
      <c r="EV40" s="68"/>
      <c r="EW40" s="68"/>
      <c r="EX40" s="68"/>
      <c r="EY40" s="68"/>
      <c r="EZ40" s="68"/>
      <c r="FA40" s="68"/>
      <c r="FB40" s="36"/>
    </row>
    <row r="41" spans="1:232">
      <c r="A41" s="6"/>
      <c r="B41" s="30"/>
      <c r="C41" s="6"/>
      <c r="D41" s="65"/>
      <c r="E41" s="6"/>
      <c r="F41" s="6"/>
      <c r="G41" s="6"/>
      <c r="H41" s="4"/>
      <c r="I41" s="2"/>
      <c r="J41" s="2"/>
      <c r="K41" s="4"/>
      <c r="L41" s="37"/>
      <c r="N41" s="7"/>
      <c r="O41" s="27"/>
      <c r="P41" s="6"/>
      <c r="Q41" s="36"/>
      <c r="R41" s="36"/>
      <c r="S41" s="4"/>
      <c r="T41" s="4"/>
      <c r="U41" s="6"/>
      <c r="V41" s="6"/>
      <c r="W41" s="6"/>
      <c r="X41" s="6"/>
      <c r="Y41" s="6"/>
      <c r="Z41" s="6"/>
      <c r="AA41" s="6"/>
      <c r="AB41" s="6"/>
      <c r="AC41" s="6"/>
      <c r="AD41" s="6"/>
      <c r="AE41" s="6"/>
      <c r="AF41" s="39"/>
      <c r="AG41" s="6"/>
      <c r="AH41" s="6"/>
      <c r="AI41" s="6"/>
      <c r="AJ41" s="6"/>
      <c r="AK41" s="6"/>
      <c r="AL41" s="6"/>
      <c r="AM41" s="6"/>
      <c r="AN41" s="6"/>
      <c r="AO41" s="6"/>
      <c r="AP41" s="6"/>
      <c r="AQ41" s="6"/>
      <c r="AR41" s="6"/>
      <c r="AS41" s="6"/>
      <c r="AT41" s="6"/>
      <c r="AU41" s="6"/>
      <c r="AV41" s="6"/>
      <c r="AW41" s="6"/>
      <c r="AX41" s="40"/>
      <c r="BB41" s="36"/>
      <c r="BF41" s="36"/>
      <c r="BJ41" s="36"/>
      <c r="BM41" s="36"/>
      <c r="BN41" s="33"/>
      <c r="BP41" s="18"/>
      <c r="CH41" s="36"/>
      <c r="CZ41" s="36"/>
      <c r="DL41" s="36"/>
      <c r="DO41" s="36"/>
      <c r="DP41" s="36"/>
      <c r="EJ41" s="36"/>
      <c r="FB41" s="36"/>
    </row>
    <row r="42" spans="1:232">
      <c r="A42" s="6"/>
      <c r="B42" s="30"/>
      <c r="C42" s="4"/>
      <c r="D42" s="65"/>
      <c r="E42" s="6"/>
      <c r="F42" s="6"/>
      <c r="G42" s="6"/>
      <c r="H42" s="6"/>
      <c r="I42" s="6"/>
      <c r="J42" s="6"/>
      <c r="K42" s="4"/>
      <c r="L42" s="65"/>
      <c r="M42" s="6"/>
      <c r="N42" s="7"/>
      <c r="O42" s="27"/>
      <c r="P42" s="6"/>
      <c r="Q42" s="36"/>
      <c r="R42" s="6"/>
      <c r="S42" s="6"/>
      <c r="T42" s="6"/>
      <c r="U42" s="6"/>
      <c r="V42" s="6"/>
      <c r="W42" s="6"/>
      <c r="X42" s="6"/>
      <c r="Y42" s="6"/>
      <c r="Z42" s="6"/>
      <c r="AA42" s="6"/>
      <c r="AB42" s="6"/>
      <c r="AC42" s="6"/>
      <c r="AD42" s="6"/>
      <c r="AE42" s="6"/>
      <c r="AF42" s="39"/>
      <c r="AG42" s="6"/>
      <c r="AH42" s="6"/>
      <c r="AI42" s="6"/>
      <c r="AJ42" s="6"/>
      <c r="AK42" s="6"/>
      <c r="AL42" s="6"/>
      <c r="AM42" s="6"/>
      <c r="AN42" s="6"/>
      <c r="AO42" s="6"/>
      <c r="AP42" s="6"/>
      <c r="AQ42" s="6"/>
      <c r="AR42" s="6"/>
      <c r="AS42" s="6"/>
      <c r="AT42" s="6"/>
      <c r="AU42" s="6"/>
      <c r="AV42" s="6"/>
      <c r="AW42" s="6"/>
      <c r="AX42" s="40"/>
      <c r="BB42" s="36"/>
      <c r="BF42" s="36"/>
      <c r="BJ42" s="36"/>
      <c r="BM42" s="36"/>
      <c r="BN42" s="33"/>
      <c r="BO42" s="15"/>
      <c r="BP42" s="18"/>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36"/>
      <c r="DL42" s="36"/>
      <c r="DO42" s="36"/>
      <c r="DP42" s="36"/>
      <c r="DQ42" s="6"/>
      <c r="DR42" s="6"/>
      <c r="DS42" s="6"/>
      <c r="DT42" s="6"/>
      <c r="DU42" s="6"/>
      <c r="DV42" s="6"/>
      <c r="DW42" s="6"/>
      <c r="DX42" s="6"/>
      <c r="DY42" s="6"/>
      <c r="DZ42" s="6"/>
      <c r="EA42" s="6"/>
      <c r="EB42" s="6"/>
      <c r="EC42" s="6"/>
      <c r="ED42" s="6"/>
      <c r="EE42" s="6"/>
      <c r="EF42" s="6"/>
      <c r="EG42" s="6"/>
      <c r="EH42" s="6"/>
      <c r="EI42" s="6"/>
      <c r="EJ42" s="36"/>
      <c r="EK42" s="6"/>
      <c r="EL42" s="6"/>
      <c r="EM42" s="6"/>
      <c r="EN42" s="6"/>
      <c r="EO42" s="6"/>
      <c r="EP42" s="6"/>
      <c r="EQ42" s="6"/>
      <c r="ER42" s="6"/>
      <c r="ES42" s="6"/>
      <c r="ET42" s="6"/>
      <c r="EU42" s="6"/>
      <c r="EV42" s="6"/>
      <c r="EW42" s="6"/>
      <c r="EX42" s="6"/>
      <c r="EY42" s="6"/>
      <c r="EZ42" s="6"/>
      <c r="FA42" s="6"/>
      <c r="FB42" s="3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W42" s="6"/>
      <c r="HX42" s="6"/>
    </row>
    <row r="43" spans="1:232">
      <c r="A43" s="6"/>
      <c r="B43" s="7"/>
      <c r="C43" s="4"/>
      <c r="D43" s="65"/>
      <c r="E43" s="6"/>
      <c r="F43" s="6"/>
      <c r="G43" s="6"/>
      <c r="H43" s="6"/>
      <c r="I43" s="6"/>
      <c r="J43" s="6"/>
      <c r="K43" s="4"/>
      <c r="L43" s="65"/>
      <c r="M43" s="62"/>
      <c r="N43" s="7"/>
      <c r="O43" s="27"/>
      <c r="P43" s="66"/>
      <c r="S43" s="4"/>
      <c r="T43" s="4"/>
      <c r="U43" s="6"/>
      <c r="V43" s="6"/>
      <c r="W43" s="6"/>
      <c r="X43" s="6"/>
      <c r="Y43" s="6"/>
      <c r="Z43" s="6"/>
      <c r="AA43" s="6"/>
      <c r="AB43" s="6"/>
      <c r="AC43" s="6"/>
      <c r="AD43" s="6"/>
      <c r="AE43" s="6"/>
      <c r="AF43" s="39"/>
      <c r="AG43" s="6"/>
      <c r="AH43" s="6"/>
      <c r="AI43" s="6"/>
      <c r="AJ43" s="6"/>
      <c r="AK43" s="6"/>
      <c r="AL43" s="6"/>
      <c r="AM43" s="6"/>
      <c r="AN43" s="6"/>
      <c r="AO43" s="6"/>
      <c r="AP43" s="6"/>
      <c r="AQ43" s="6"/>
      <c r="AR43" s="6"/>
      <c r="AS43" s="6"/>
      <c r="AT43" s="6"/>
      <c r="AU43" s="6"/>
      <c r="AV43" s="6"/>
      <c r="AW43" s="6"/>
      <c r="AX43" s="40"/>
      <c r="BB43" s="36"/>
      <c r="BF43" s="36"/>
      <c r="BJ43" s="36"/>
      <c r="BM43" s="36"/>
      <c r="BN43" s="33"/>
      <c r="CZ43" s="36"/>
      <c r="DO43" s="36"/>
      <c r="DP43" s="36"/>
    </row>
    <row r="44" spans="1:232">
      <c r="A44" s="6"/>
      <c r="B44" s="7"/>
      <c r="C44" s="6"/>
      <c r="D44" s="65"/>
      <c r="E44" s="6"/>
      <c r="F44" s="6"/>
      <c r="G44" s="6"/>
      <c r="H44" s="4"/>
      <c r="I44" s="6"/>
      <c r="J44" s="6"/>
      <c r="K44" s="6"/>
      <c r="L44" s="65"/>
      <c r="M44" s="6"/>
      <c r="N44" s="7"/>
      <c r="O44" s="27"/>
      <c r="P44" s="66"/>
      <c r="Q44" s="66"/>
      <c r="R44" s="6"/>
      <c r="S44" s="4"/>
      <c r="T44" s="4"/>
      <c r="U44" s="6"/>
      <c r="V44" s="6"/>
      <c r="W44" s="6"/>
      <c r="X44" s="6"/>
      <c r="Y44" s="6"/>
      <c r="Z44" s="6"/>
      <c r="AA44" s="6"/>
      <c r="AB44" s="6"/>
      <c r="AC44" s="6"/>
      <c r="AD44" s="6"/>
      <c r="AE44" s="6"/>
      <c r="AF44" s="39"/>
      <c r="AG44" s="6"/>
      <c r="AH44" s="6"/>
      <c r="AI44" s="6"/>
      <c r="AJ44" s="6"/>
      <c r="AK44" s="6"/>
      <c r="AL44" s="6"/>
      <c r="AM44" s="6"/>
      <c r="AN44" s="6"/>
      <c r="AO44" s="6"/>
      <c r="AP44" s="6"/>
      <c r="AQ44" s="6"/>
      <c r="AR44" s="6"/>
      <c r="AS44" s="6"/>
      <c r="AT44" s="6"/>
      <c r="AU44" s="6"/>
      <c r="AV44" s="6"/>
      <c r="AW44" s="6"/>
      <c r="AX44" s="40"/>
      <c r="BB44" s="36"/>
      <c r="BF44" s="36"/>
      <c r="BJ44" s="36"/>
      <c r="BM44" s="36"/>
      <c r="BN44" s="33"/>
      <c r="BO44" s="14"/>
      <c r="BP44" s="18"/>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36"/>
      <c r="DO44" s="36"/>
      <c r="DP44" s="3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W44" s="6"/>
      <c r="HX44" s="6"/>
    </row>
    <row r="45" spans="1:232">
      <c r="A45" s="6"/>
      <c r="B45" s="7"/>
      <c r="C45" s="6"/>
      <c r="D45" s="65"/>
      <c r="E45" s="6"/>
      <c r="F45" s="6"/>
      <c r="G45" s="6"/>
      <c r="H45" s="4"/>
      <c r="I45" s="6"/>
      <c r="J45" s="6"/>
      <c r="K45" s="6"/>
      <c r="L45" s="65"/>
      <c r="M45" s="6"/>
      <c r="N45" s="7"/>
      <c r="O45" s="27"/>
      <c r="P45" s="66"/>
      <c r="Q45" s="66"/>
      <c r="R45" s="6"/>
      <c r="S45" s="6"/>
      <c r="T45" s="6"/>
      <c r="U45" s="6"/>
      <c r="V45" s="6"/>
      <c r="W45" s="6"/>
      <c r="X45" s="6"/>
      <c r="Y45" s="6"/>
      <c r="Z45" s="6"/>
      <c r="AA45" s="6"/>
      <c r="AB45" s="6"/>
      <c r="AC45" s="6"/>
      <c r="AD45" s="6"/>
      <c r="AE45" s="6"/>
      <c r="AF45" s="39"/>
      <c r="AG45" s="6"/>
      <c r="AH45" s="6"/>
      <c r="AI45" s="6"/>
      <c r="AJ45" s="6"/>
      <c r="AK45" s="6"/>
      <c r="AL45" s="6"/>
      <c r="AM45" s="6"/>
      <c r="AN45" s="6"/>
      <c r="AO45" s="6"/>
      <c r="AP45" s="6"/>
      <c r="AQ45" s="6"/>
      <c r="AR45" s="6"/>
      <c r="AS45" s="6"/>
      <c r="AT45" s="6"/>
      <c r="AU45" s="6"/>
      <c r="AV45" s="6"/>
      <c r="AW45" s="6"/>
      <c r="AX45" s="40"/>
      <c r="BB45" s="36"/>
      <c r="BF45" s="36"/>
      <c r="BJ45" s="36"/>
      <c r="BM45" s="36"/>
      <c r="BN45" s="33"/>
      <c r="BO45" s="14"/>
      <c r="BP45" s="17"/>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36"/>
      <c r="DO45" s="36"/>
      <c r="DP45" s="3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W45" s="6"/>
      <c r="HX45" s="6"/>
    </row>
    <row r="46" spans="1:232">
      <c r="A46" s="6"/>
      <c r="B46" s="7"/>
      <c r="C46" s="6"/>
      <c r="D46" s="65"/>
      <c r="E46" s="6"/>
      <c r="F46" s="6"/>
      <c r="G46" s="6"/>
      <c r="H46" s="6"/>
      <c r="I46" s="6"/>
      <c r="J46" s="6"/>
      <c r="K46" s="6"/>
      <c r="L46" s="65"/>
      <c r="M46" s="6"/>
      <c r="N46" s="7"/>
      <c r="O46" s="27"/>
      <c r="P46" s="66"/>
      <c r="Q46" s="66"/>
      <c r="R46" s="6"/>
      <c r="S46" s="6"/>
      <c r="T46" s="6"/>
      <c r="U46" s="6"/>
      <c r="V46" s="6"/>
      <c r="W46" s="6"/>
      <c r="X46" s="6"/>
      <c r="Y46" s="6"/>
      <c r="Z46" s="6"/>
      <c r="AA46" s="6"/>
      <c r="AB46" s="6"/>
      <c r="AC46" s="6"/>
      <c r="AD46" s="6"/>
      <c r="AE46" s="6"/>
      <c r="AF46" s="39"/>
      <c r="AG46" s="6"/>
      <c r="AH46" s="6"/>
      <c r="AI46" s="6"/>
      <c r="AJ46" s="6"/>
      <c r="AK46" s="6"/>
      <c r="AL46" s="6"/>
      <c r="AM46" s="6"/>
      <c r="AN46" s="6"/>
      <c r="AO46" s="6"/>
      <c r="AP46" s="6"/>
      <c r="AQ46" s="6"/>
      <c r="AR46" s="6"/>
      <c r="AS46" s="6"/>
      <c r="AT46" s="6"/>
      <c r="AU46" s="6"/>
      <c r="AV46" s="6"/>
      <c r="AW46" s="6"/>
      <c r="AX46" s="40"/>
      <c r="BB46" s="36"/>
      <c r="BF46" s="36"/>
      <c r="BJ46" s="36"/>
      <c r="BM46" s="36"/>
      <c r="BN46" s="33"/>
      <c r="BO46" s="15"/>
      <c r="BP46" s="18"/>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O46" s="36"/>
      <c r="DP46" s="3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W46" s="6"/>
      <c r="HX46" s="6"/>
    </row>
    <row r="47" spans="1:232">
      <c r="A47" s="6"/>
      <c r="B47" s="7"/>
      <c r="C47" s="6"/>
      <c r="D47" s="65"/>
      <c r="E47" s="6"/>
      <c r="F47" s="6"/>
      <c r="G47" s="6"/>
      <c r="H47" s="6"/>
      <c r="I47" s="6"/>
      <c r="J47" s="6"/>
      <c r="K47" s="6"/>
      <c r="L47" s="65"/>
      <c r="M47" s="6"/>
      <c r="N47" s="7"/>
      <c r="O47" s="27"/>
      <c r="P47" s="66"/>
      <c r="Q47" s="66"/>
      <c r="R47" s="6"/>
      <c r="S47" s="6"/>
      <c r="T47" s="6"/>
      <c r="U47" s="6"/>
      <c r="V47" s="6"/>
      <c r="W47" s="6"/>
      <c r="X47" s="6"/>
      <c r="Y47" s="6"/>
      <c r="Z47" s="6"/>
      <c r="AA47" s="6"/>
      <c r="AB47" s="6"/>
      <c r="AC47" s="6"/>
      <c r="AD47" s="6"/>
      <c r="AE47" s="6"/>
      <c r="AF47" s="11"/>
      <c r="AG47" s="6"/>
      <c r="AH47" s="6"/>
      <c r="AI47" s="6"/>
      <c r="AJ47" s="6"/>
      <c r="AK47" s="6"/>
      <c r="AL47" s="6"/>
      <c r="AM47" s="6"/>
      <c r="AN47" s="6"/>
      <c r="AO47" s="6"/>
      <c r="AP47" s="6"/>
      <c r="AQ47" s="6"/>
      <c r="AR47" s="6"/>
      <c r="AS47" s="6"/>
      <c r="AT47" s="6"/>
      <c r="AU47" s="6"/>
      <c r="AV47" s="6"/>
      <c r="AW47" s="6"/>
      <c r="AX47" s="40"/>
      <c r="BB47" s="36"/>
      <c r="BF47" s="36"/>
      <c r="BJ47" s="36"/>
      <c r="BM47" s="36"/>
      <c r="BN47" s="33"/>
      <c r="BO47" s="15"/>
      <c r="BP47" s="18"/>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O47" s="36"/>
      <c r="DP47" s="3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W47" s="6"/>
      <c r="HX47" s="6"/>
    </row>
    <row r="48" spans="1:232">
      <c r="A48" s="6"/>
      <c r="B48" s="7"/>
      <c r="C48" s="6"/>
      <c r="D48" s="65"/>
      <c r="E48" s="6"/>
      <c r="F48" s="6"/>
      <c r="G48" s="6"/>
      <c r="H48" s="6"/>
      <c r="I48" s="6"/>
      <c r="J48" s="6"/>
      <c r="K48" s="6"/>
      <c r="L48" s="65"/>
      <c r="M48" s="6"/>
      <c r="N48" s="7"/>
      <c r="O48" s="27"/>
      <c r="P48" s="6"/>
      <c r="Q48" s="66"/>
      <c r="R48" s="6"/>
      <c r="S48" s="6"/>
      <c r="T48" s="6"/>
      <c r="U48" s="6"/>
      <c r="V48" s="6"/>
      <c r="W48" s="6"/>
      <c r="X48" s="6"/>
      <c r="Y48" s="6"/>
      <c r="Z48" s="6"/>
      <c r="AA48" s="6"/>
      <c r="AB48" s="6"/>
      <c r="AC48" s="6"/>
      <c r="AD48" s="6"/>
      <c r="AE48" s="6"/>
      <c r="AF48" s="11"/>
      <c r="AG48" s="6"/>
      <c r="AH48" s="6"/>
      <c r="AI48" s="6"/>
      <c r="AJ48" s="6"/>
      <c r="AK48" s="6"/>
      <c r="AL48" s="6"/>
      <c r="AM48" s="6"/>
      <c r="AN48" s="6"/>
      <c r="AO48" s="6"/>
      <c r="AP48" s="6"/>
      <c r="AQ48" s="6"/>
      <c r="AR48" s="6"/>
      <c r="AS48" s="6"/>
      <c r="AT48" s="6"/>
      <c r="AU48" s="6"/>
      <c r="AV48" s="6"/>
      <c r="AW48" s="6"/>
      <c r="AX48" s="40"/>
      <c r="BB48" s="36"/>
      <c r="BF48" s="36"/>
      <c r="BJ48" s="36"/>
      <c r="BM48" s="36"/>
      <c r="BN48" s="33"/>
      <c r="BO48" s="14"/>
      <c r="BP48" s="17"/>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O48" s="36"/>
      <c r="DP48" s="3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W48" s="6"/>
      <c r="HX48" s="6"/>
    </row>
    <row r="49" spans="1:228">
      <c r="AX49" s="40"/>
      <c r="BB49" s="36"/>
      <c r="BF49" s="36"/>
      <c r="BJ49" s="36"/>
      <c r="BM49" s="36"/>
      <c r="BN49" s="33"/>
      <c r="DO49" s="36"/>
      <c r="DP49" s="36"/>
    </row>
    <row r="50" spans="1:228">
      <c r="AX50" s="40"/>
      <c r="BB50" s="36"/>
      <c r="BF50" s="36"/>
      <c r="BM50" s="36"/>
      <c r="DO50" s="36"/>
      <c r="DP50" s="36"/>
    </row>
    <row r="51" spans="1:228">
      <c r="AX51" s="40"/>
      <c r="BB51" s="36"/>
      <c r="BF51" s="36"/>
      <c r="DO51" s="36"/>
    </row>
    <row r="52" spans="1:228">
      <c r="C52" s="26"/>
      <c r="D52" s="20"/>
      <c r="O52" s="4"/>
      <c r="AX52" s="40"/>
      <c r="BB52" s="36"/>
      <c r="BF52" s="36"/>
      <c r="DO52" s="36"/>
      <c r="FK52" s="6"/>
      <c r="FL52" s="6"/>
      <c r="FM52" s="6"/>
      <c r="FN52" s="6"/>
      <c r="FO52" s="6"/>
      <c r="FP52" s="6"/>
      <c r="FQ52" s="6"/>
      <c r="FR52" s="6"/>
    </row>
    <row r="53" spans="1:228">
      <c r="D53" s="20"/>
      <c r="AX53" s="40"/>
      <c r="BF53" s="36"/>
      <c r="DO53" s="36"/>
      <c r="FK53" s="6"/>
      <c r="FL53" s="6"/>
      <c r="FM53" s="6"/>
      <c r="FN53" s="6"/>
      <c r="FO53" s="6"/>
      <c r="FP53" s="6"/>
      <c r="FQ53" s="6"/>
      <c r="FR53" s="6"/>
    </row>
    <row r="54" spans="1:228">
      <c r="D54" s="20"/>
      <c r="AX54" s="40"/>
      <c r="BF54" s="36"/>
      <c r="DO54" s="36"/>
      <c r="FK54" s="6"/>
      <c r="FL54" s="6"/>
      <c r="FM54" s="6"/>
      <c r="FN54" s="6"/>
      <c r="FO54" s="6"/>
      <c r="FP54" s="6"/>
      <c r="FQ54" s="6"/>
      <c r="FR54" s="6"/>
    </row>
    <row r="55" spans="1:228">
      <c r="D55" s="20"/>
      <c r="AX55" s="40"/>
      <c r="BF55" s="36"/>
      <c r="DO55" s="36"/>
      <c r="FK55" s="6"/>
      <c r="FL55" s="6"/>
      <c r="FM55" s="6"/>
      <c r="FN55" s="6"/>
      <c r="FO55" s="6"/>
      <c r="FP55" s="6"/>
      <c r="FQ55" s="6"/>
      <c r="FR55" s="6"/>
    </row>
    <row r="56" spans="1:228">
      <c r="D56" s="20"/>
      <c r="AX56" s="40"/>
      <c r="DO56" s="36"/>
      <c r="FK56" s="6"/>
      <c r="FL56" s="6"/>
      <c r="FM56" s="6"/>
      <c r="FN56" s="6"/>
      <c r="FO56" s="6"/>
      <c r="FP56" s="6"/>
      <c r="FQ56" s="6"/>
      <c r="FR56" s="6"/>
    </row>
    <row r="57" spans="1:228">
      <c r="D57" s="20"/>
      <c r="AX57" s="40"/>
      <c r="FK57" s="6"/>
      <c r="FL57" s="6"/>
      <c r="FM57" s="6"/>
      <c r="FN57" s="6"/>
      <c r="FO57" s="6"/>
      <c r="FP57" s="6"/>
      <c r="FQ57" s="6"/>
      <c r="FR57" s="6"/>
    </row>
    <row r="58" spans="1:228">
      <c r="AX58" s="40"/>
      <c r="FK58" s="6"/>
      <c r="FL58" s="6"/>
      <c r="FM58" s="6"/>
      <c r="FN58" s="6"/>
      <c r="FO58" s="6"/>
      <c r="FP58" s="6"/>
      <c r="FQ58" s="6"/>
      <c r="FR58" s="6"/>
    </row>
    <row r="59" spans="1:228">
      <c r="AX59" s="40"/>
      <c r="FK59" s="6"/>
      <c r="FL59" s="6"/>
      <c r="FM59" s="6"/>
      <c r="FN59" s="6"/>
      <c r="FO59" s="6"/>
      <c r="FP59" s="6"/>
      <c r="FQ59" s="6"/>
      <c r="FR59" s="6"/>
    </row>
    <row r="60" spans="1:228">
      <c r="AX60" s="40"/>
      <c r="FK60" s="6"/>
      <c r="FL60" s="6"/>
      <c r="FM60" s="6"/>
      <c r="FN60" s="6"/>
      <c r="FO60" s="6"/>
      <c r="FP60" s="6"/>
      <c r="FQ60" s="6"/>
      <c r="FR60" s="6"/>
    </row>
    <row r="61" spans="1:228">
      <c r="AX61" s="40"/>
      <c r="FK61" s="6"/>
      <c r="FL61" s="6"/>
      <c r="FM61" s="6"/>
      <c r="FN61" s="6"/>
      <c r="FO61" s="6"/>
      <c r="FP61" s="6"/>
      <c r="FQ61" s="6"/>
      <c r="FR61" s="6"/>
    </row>
    <row r="62" spans="1:228">
      <c r="AX62" s="40"/>
      <c r="FK62" s="6"/>
      <c r="FL62" s="6"/>
      <c r="FM62" s="6"/>
      <c r="FN62" s="6"/>
      <c r="FO62" s="6"/>
      <c r="FP62" s="6"/>
      <c r="FQ62" s="6"/>
      <c r="FR62" s="6"/>
    </row>
    <row r="63" spans="1:228">
      <c r="AX63" s="40"/>
      <c r="FK63" s="6"/>
      <c r="FL63" s="6"/>
      <c r="FM63" s="6"/>
      <c r="FN63" s="6"/>
      <c r="FO63" s="6"/>
      <c r="FP63" s="6"/>
      <c r="FQ63" s="6"/>
      <c r="FR63" s="6"/>
    </row>
    <row r="64" spans="1:228">
      <c r="A64" s="24"/>
      <c r="B64" s="5"/>
      <c r="C64" s="4"/>
      <c r="D64" s="20"/>
      <c r="E64" s="4"/>
      <c r="F64" s="4"/>
      <c r="G64" s="4"/>
      <c r="H64" s="4"/>
      <c r="I64" s="4"/>
      <c r="J64" s="4"/>
      <c r="K64" s="4"/>
      <c r="L64" s="20"/>
      <c r="M64" s="4"/>
      <c r="N64" s="5"/>
      <c r="O64" s="4"/>
      <c r="P64" s="4"/>
      <c r="Q64" s="4"/>
      <c r="R64" s="4"/>
      <c r="S64" s="4"/>
      <c r="T64" s="4"/>
      <c r="U64" s="4"/>
      <c r="V64" s="4"/>
      <c r="W64" s="4"/>
      <c r="X64" s="4"/>
      <c r="Y64" s="4"/>
      <c r="Z64" s="4"/>
      <c r="AA64" s="4"/>
      <c r="AB64" s="4"/>
      <c r="AC64" s="4"/>
      <c r="AD64" s="4"/>
      <c r="AE64" s="4"/>
      <c r="AF64" s="39"/>
      <c r="AG64" s="4"/>
      <c r="AH64" s="4"/>
      <c r="AI64" s="4"/>
      <c r="AJ64" s="4"/>
      <c r="AK64" s="4"/>
      <c r="AL64" s="4"/>
      <c r="AM64" s="4"/>
      <c r="AN64" s="4"/>
      <c r="AO64" s="4"/>
      <c r="AP64" s="4"/>
      <c r="AQ64" s="4"/>
      <c r="AR64" s="4"/>
      <c r="AS64" s="4"/>
      <c r="AT64" s="4"/>
      <c r="AU64" s="4"/>
      <c r="AV64" s="4"/>
      <c r="AW64" s="4"/>
      <c r="AX64" s="40"/>
      <c r="BF64" s="36"/>
      <c r="BM64" s="36"/>
      <c r="BO64" s="15"/>
      <c r="BP64" s="18"/>
      <c r="BQ64" s="4"/>
      <c r="BR64" s="4"/>
      <c r="BS64" s="4"/>
      <c r="BT64" s="4"/>
      <c r="BU64" s="4"/>
      <c r="BV64" s="4"/>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Q64" s="4"/>
      <c r="DR64" s="4"/>
      <c r="EJ64" s="36"/>
      <c r="FB64" s="36"/>
      <c r="FC64" s="6"/>
      <c r="FD64" s="6"/>
      <c r="FE64" s="6"/>
      <c r="FF64" s="6"/>
      <c r="FG64" s="6"/>
      <c r="FH64" s="6"/>
      <c r="FI64" s="6"/>
      <c r="FJ64" s="36"/>
      <c r="FK64" s="6"/>
      <c r="FL64" s="6"/>
      <c r="FM64" s="6"/>
      <c r="FN64" s="36"/>
      <c r="FO64" s="6"/>
      <c r="FP64" s="6"/>
      <c r="FQ64" s="6"/>
      <c r="FR64" s="36"/>
      <c r="GL64" s="6"/>
      <c r="HD64" s="6"/>
      <c r="HL64" s="36"/>
      <c r="HP64" s="36"/>
      <c r="HT64" s="36"/>
    </row>
    <row r="65" spans="1:232">
      <c r="A65" s="24"/>
      <c r="B65" s="5"/>
      <c r="C65" s="22"/>
      <c r="D65" s="20"/>
      <c r="E65" s="4"/>
      <c r="F65" s="4"/>
      <c r="G65" s="4"/>
      <c r="H65" s="4"/>
      <c r="I65" s="4"/>
      <c r="J65" s="4"/>
      <c r="K65" s="4"/>
      <c r="L65" s="131"/>
      <c r="M65" s="22"/>
      <c r="N65" s="5"/>
      <c r="O65" s="4"/>
      <c r="P65" s="4"/>
      <c r="Q65" s="4"/>
      <c r="R65" s="4"/>
      <c r="S65" s="4"/>
      <c r="T65" s="4"/>
      <c r="U65" s="4"/>
      <c r="V65" s="4"/>
      <c r="W65" s="4"/>
      <c r="X65" s="4"/>
      <c r="Y65" s="4"/>
      <c r="Z65" s="4"/>
      <c r="AA65" s="4"/>
      <c r="AB65" s="4"/>
      <c r="AC65" s="4"/>
      <c r="AD65" s="4"/>
      <c r="AE65" s="4"/>
      <c r="AF65" s="12"/>
      <c r="AG65" s="4"/>
      <c r="AH65" s="4"/>
      <c r="AI65" s="4"/>
      <c r="AJ65" s="4"/>
      <c r="AK65" s="4"/>
      <c r="AL65" s="4"/>
      <c r="AM65" s="4"/>
      <c r="AN65" s="4"/>
      <c r="AO65" s="4"/>
      <c r="AP65" s="4"/>
      <c r="AQ65" s="4"/>
      <c r="AR65" s="4"/>
      <c r="AS65" s="4"/>
      <c r="AT65" s="4"/>
      <c r="AU65" s="4"/>
      <c r="AV65" s="4"/>
      <c r="AW65" s="4"/>
      <c r="AX65" s="40"/>
      <c r="BM65" s="36"/>
      <c r="BO65" s="15"/>
      <c r="BP65" s="18"/>
      <c r="BQ65" s="4"/>
      <c r="BR65" s="4"/>
      <c r="BS65" s="4"/>
      <c r="BT65" s="4"/>
      <c r="BU65" s="4"/>
      <c r="BV65" s="4"/>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Q65" s="4"/>
      <c r="DR65" s="4"/>
      <c r="EJ65" s="36"/>
      <c r="FB65" s="36"/>
      <c r="FC65" s="6"/>
      <c r="FD65" s="6"/>
      <c r="FE65" s="6"/>
      <c r="FF65" s="6"/>
      <c r="FG65" s="6"/>
      <c r="FH65" s="6"/>
      <c r="FI65" s="6"/>
      <c r="FJ65" s="36"/>
      <c r="FK65" s="6"/>
      <c r="FL65" s="6"/>
      <c r="FM65" s="6"/>
      <c r="FN65" s="36"/>
      <c r="FO65" s="6"/>
      <c r="FP65" s="6"/>
      <c r="FQ65" s="6"/>
      <c r="FR65" s="6"/>
      <c r="GL65" s="6"/>
      <c r="HD65" s="6"/>
      <c r="HL65" s="36"/>
      <c r="HP65" s="36"/>
    </row>
    <row r="66" spans="1:232">
      <c r="D66" s="20"/>
      <c r="S66" s="4"/>
      <c r="T66" s="4"/>
      <c r="AF66" s="12"/>
      <c r="AX66" s="10"/>
      <c r="BM66" s="36"/>
      <c r="CZ66" s="6"/>
      <c r="EJ66" s="36"/>
      <c r="FB66" s="36"/>
      <c r="FJ66" s="36"/>
      <c r="FK66" s="6"/>
      <c r="FL66" s="6"/>
      <c r="FM66" s="6"/>
      <c r="FN66" s="36"/>
      <c r="FO66" s="6"/>
      <c r="FP66" s="6"/>
      <c r="FQ66" s="6"/>
      <c r="FR66" s="6"/>
      <c r="HP66" s="36"/>
    </row>
    <row r="67" spans="1:232">
      <c r="D67" s="20"/>
      <c r="S67" s="4"/>
      <c r="T67" s="4"/>
      <c r="AF67" s="12"/>
      <c r="AX67" s="10"/>
      <c r="BM67" s="36"/>
      <c r="CZ67" s="6"/>
      <c r="EJ67" s="36"/>
      <c r="FJ67" s="36"/>
      <c r="FK67" s="6"/>
      <c r="FL67" s="6"/>
      <c r="FM67" s="6"/>
      <c r="FN67" s="36"/>
      <c r="FO67" s="6"/>
      <c r="FP67" s="6"/>
      <c r="FQ67" s="6"/>
      <c r="FR67" s="6"/>
      <c r="HP67" s="36"/>
    </row>
    <row r="68" spans="1:232">
      <c r="D68" s="20"/>
      <c r="AF68" s="12"/>
      <c r="AX68" s="10"/>
      <c r="BM68" s="36"/>
      <c r="CZ68" s="6"/>
      <c r="EJ68" s="36"/>
      <c r="FK68" s="6"/>
      <c r="FL68" s="6"/>
      <c r="FM68" s="6"/>
      <c r="FN68" s="36"/>
      <c r="FO68" s="6"/>
      <c r="FP68" s="6"/>
      <c r="FQ68" s="6"/>
      <c r="FR68" s="6"/>
      <c r="HP68" s="36"/>
    </row>
    <row r="69" spans="1:232">
      <c r="A69" s="24"/>
      <c r="B69" s="5"/>
      <c r="C69" s="22"/>
      <c r="D69" s="20"/>
      <c r="E69" s="4"/>
      <c r="F69" s="6"/>
      <c r="G69" s="4"/>
      <c r="H69" s="4"/>
      <c r="I69" s="4"/>
      <c r="J69" s="4"/>
      <c r="K69" s="4"/>
      <c r="L69" s="20"/>
      <c r="M69" s="4"/>
      <c r="N69" s="5"/>
      <c r="O69" s="4"/>
      <c r="P69" s="4"/>
      <c r="Q69" s="4"/>
      <c r="R69" s="22"/>
      <c r="S69" s="4"/>
      <c r="T69" s="4"/>
      <c r="U69" s="6"/>
      <c r="V69" s="6"/>
      <c r="W69" s="6"/>
      <c r="X69" s="6"/>
      <c r="Y69" s="6"/>
      <c r="Z69" s="6"/>
      <c r="AA69" s="6"/>
      <c r="AB69" s="6"/>
      <c r="AC69" s="6"/>
      <c r="AD69" s="6"/>
      <c r="AE69" s="6"/>
      <c r="AF69" s="12"/>
      <c r="AG69" s="6"/>
      <c r="AH69" s="6"/>
      <c r="AI69" s="6"/>
      <c r="AJ69" s="6"/>
      <c r="AK69" s="6"/>
      <c r="AL69" s="6"/>
      <c r="AM69" s="6"/>
      <c r="AN69" s="6"/>
      <c r="AO69" s="6"/>
      <c r="AP69" s="6"/>
      <c r="AQ69" s="6"/>
      <c r="AR69" s="6"/>
      <c r="AS69" s="6"/>
      <c r="AT69" s="6"/>
      <c r="AU69" s="6"/>
      <c r="AV69" s="6"/>
      <c r="AW69" s="6"/>
      <c r="AX69" s="10"/>
      <c r="BM69" s="36"/>
      <c r="BO69" s="15"/>
      <c r="BP69" s="18"/>
      <c r="BQ69" s="22"/>
      <c r="CH69" s="6"/>
      <c r="CI69" s="6"/>
      <c r="CJ69" s="6"/>
      <c r="CK69" s="6"/>
      <c r="CL69" s="6"/>
      <c r="CM69" s="6"/>
      <c r="CN69" s="6"/>
      <c r="CO69" s="6"/>
      <c r="CP69" s="6"/>
      <c r="CQ69" s="6"/>
      <c r="CR69" s="6"/>
      <c r="CS69" s="6"/>
      <c r="CT69" s="6"/>
      <c r="CU69" s="6"/>
      <c r="CV69" s="6"/>
      <c r="CW69" s="6"/>
      <c r="CX69" s="6"/>
      <c r="CY69" s="6"/>
      <c r="CZ69" s="6"/>
      <c r="EJ69" s="36"/>
      <c r="FB69" s="6"/>
      <c r="FC69" s="6"/>
      <c r="FD69" s="6"/>
      <c r="FE69" s="6"/>
      <c r="FF69" s="6"/>
      <c r="FG69" s="6"/>
      <c r="FH69" s="6"/>
      <c r="FI69" s="6"/>
      <c r="FJ69" s="6"/>
      <c r="FK69" s="6"/>
      <c r="FL69" s="6"/>
      <c r="FM69" s="6"/>
      <c r="FN69" s="36"/>
      <c r="FO69" s="6"/>
      <c r="FP69" s="6"/>
      <c r="FQ69" s="6"/>
      <c r="FR69" s="6"/>
      <c r="GL69" s="6"/>
      <c r="HD69" s="6"/>
      <c r="HP69" s="36"/>
    </row>
    <row r="70" spans="1:232">
      <c r="A70" s="24"/>
      <c r="B70" s="5"/>
      <c r="C70" s="4"/>
      <c r="D70" s="20"/>
      <c r="E70" s="6"/>
      <c r="F70" s="6"/>
      <c r="G70" s="4"/>
      <c r="H70" s="6"/>
      <c r="I70" s="4"/>
      <c r="J70" s="6"/>
      <c r="K70" s="4"/>
      <c r="L70" s="20"/>
      <c r="M70" s="4"/>
      <c r="N70" s="7"/>
      <c r="O70" s="6"/>
      <c r="P70" s="6"/>
      <c r="Q70" s="6"/>
      <c r="R70" s="4"/>
      <c r="S70" s="4"/>
      <c r="T70" s="4"/>
      <c r="U70" s="6"/>
      <c r="V70" s="6"/>
      <c r="W70" s="6"/>
      <c r="X70" s="6"/>
      <c r="Y70" s="6"/>
      <c r="Z70" s="6"/>
      <c r="AA70" s="6"/>
      <c r="AB70" s="6"/>
      <c r="AC70" s="6"/>
      <c r="AD70" s="6"/>
      <c r="AE70" s="6"/>
      <c r="AF70" s="12"/>
      <c r="AG70" s="6"/>
      <c r="AH70" s="6"/>
      <c r="AI70" s="6"/>
      <c r="AJ70" s="6"/>
      <c r="AK70" s="6"/>
      <c r="AL70" s="6"/>
      <c r="AM70" s="6"/>
      <c r="AN70" s="6"/>
      <c r="AO70" s="6"/>
      <c r="AP70" s="6"/>
      <c r="AQ70" s="6"/>
      <c r="AR70" s="6"/>
      <c r="AS70" s="6"/>
      <c r="AT70" s="6"/>
      <c r="AU70" s="6"/>
      <c r="AV70" s="6"/>
      <c r="AW70" s="6"/>
      <c r="AX70" s="10"/>
      <c r="BM70" s="36"/>
      <c r="BO70" s="14"/>
      <c r="BP70" s="18"/>
      <c r="BQ70" s="6"/>
      <c r="BR70" s="27"/>
      <c r="BS70" s="28"/>
      <c r="BT70" s="28"/>
      <c r="BU70" s="6"/>
      <c r="BV70" s="4"/>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Q70" s="4"/>
      <c r="DR70" s="4"/>
      <c r="DS70" s="6"/>
      <c r="DT70" s="6"/>
      <c r="DU70" s="6"/>
      <c r="DV70" s="6"/>
      <c r="DW70" s="6"/>
      <c r="DX70" s="6"/>
      <c r="DY70" s="6"/>
      <c r="DZ70" s="6"/>
      <c r="EA70" s="6"/>
      <c r="EB70" s="6"/>
      <c r="EC70" s="6"/>
      <c r="ED70" s="6"/>
      <c r="EE70" s="6"/>
      <c r="EF70" s="6"/>
      <c r="EG70" s="6"/>
      <c r="EH70" s="6"/>
      <c r="EI70" s="6"/>
      <c r="EJ70" s="3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3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36"/>
      <c r="HQ70" s="6"/>
      <c r="HR70" s="6"/>
      <c r="HS70" s="6"/>
      <c r="HT70" s="6"/>
      <c r="HU70" s="6"/>
      <c r="HW70" s="6"/>
      <c r="HX70" s="6"/>
    </row>
    <row r="71" spans="1:232">
      <c r="D71" s="20"/>
      <c r="O71" s="4"/>
      <c r="AX71" s="10"/>
      <c r="BM71" s="36"/>
      <c r="CZ71" s="6"/>
      <c r="FK71" s="6"/>
      <c r="FL71" s="6"/>
      <c r="FM71" s="6"/>
      <c r="FN71" s="6"/>
      <c r="FO71" s="6"/>
      <c r="FP71" s="6"/>
      <c r="FQ71" s="6"/>
      <c r="FR71" s="6"/>
      <c r="HP71" s="36"/>
    </row>
    <row r="72" spans="1:232">
      <c r="D72" s="20"/>
      <c r="O72" s="4"/>
      <c r="AX72" s="10"/>
      <c r="BM72" s="36"/>
      <c r="CZ72" s="6"/>
      <c r="FK72" s="6"/>
      <c r="FL72" s="6"/>
      <c r="FM72" s="6"/>
      <c r="FN72" s="6"/>
      <c r="FO72" s="6"/>
      <c r="FP72" s="6"/>
      <c r="FQ72" s="6"/>
      <c r="FR72" s="6"/>
      <c r="HP72" s="36"/>
    </row>
    <row r="73" spans="1:232">
      <c r="D73" s="20"/>
      <c r="O73" s="4"/>
      <c r="AX73" s="10"/>
      <c r="BM73" s="36"/>
      <c r="FK73" s="6"/>
      <c r="FL73" s="6"/>
      <c r="FM73" s="6"/>
      <c r="FN73" s="6"/>
      <c r="FO73" s="6"/>
      <c r="FP73" s="6"/>
      <c r="FQ73" s="6"/>
      <c r="FR73" s="6"/>
      <c r="HP73" s="36"/>
    </row>
    <row r="74" spans="1:232">
      <c r="D74" s="20"/>
      <c r="O74" s="4"/>
      <c r="AX74" s="10"/>
      <c r="BM74" s="36"/>
      <c r="FK74" s="6"/>
      <c r="FL74" s="6"/>
      <c r="FM74" s="6"/>
      <c r="FN74" s="6"/>
      <c r="FO74" s="6"/>
      <c r="FP74" s="6"/>
      <c r="FQ74" s="6"/>
      <c r="FR74" s="6"/>
      <c r="HP74" s="36"/>
    </row>
    <row r="75" spans="1:232">
      <c r="A75" s="14"/>
      <c r="B75" s="5"/>
      <c r="C75" s="25"/>
      <c r="D75" s="20"/>
      <c r="L75" s="20"/>
      <c r="M75" s="4"/>
      <c r="N75" s="5"/>
      <c r="O75" s="4"/>
      <c r="P75" s="4"/>
      <c r="Q75" s="4"/>
      <c r="R75" s="4"/>
      <c r="S75" s="4"/>
      <c r="T75" s="4"/>
      <c r="AX75" s="10"/>
      <c r="BM75" s="36"/>
      <c r="FK75" s="6"/>
      <c r="FL75" s="6"/>
      <c r="FM75" s="6"/>
      <c r="FN75" s="6"/>
      <c r="FO75" s="6"/>
      <c r="FP75" s="6"/>
      <c r="FQ75" s="6"/>
      <c r="FR75" s="6"/>
      <c r="HP75" s="36"/>
    </row>
    <row r="76" spans="1:232">
      <c r="A76" s="14"/>
      <c r="B76" s="5"/>
      <c r="C76" s="25"/>
      <c r="D76" s="20"/>
      <c r="L76" s="20"/>
      <c r="M76" s="4"/>
      <c r="N76" s="5"/>
      <c r="O76" s="4"/>
      <c r="P76" s="4"/>
      <c r="Q76" s="4"/>
      <c r="R76" s="4"/>
      <c r="AX76" s="10"/>
      <c r="BM76" s="36"/>
      <c r="FK76" s="6"/>
      <c r="FL76" s="6"/>
      <c r="FM76" s="6"/>
      <c r="FN76" s="6"/>
      <c r="FO76" s="6"/>
      <c r="FP76" s="6"/>
      <c r="FQ76" s="6"/>
      <c r="FR7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6501-9684-474A-B54A-793EEF6A94D7}">
  <dimension ref="A1:HX76"/>
  <sheetViews>
    <sheetView topLeftCell="A11" workbookViewId="0">
      <selection activeCell="BO27" sqref="BO27"/>
    </sheetView>
  </sheetViews>
  <sheetFormatPr defaultRowHeight="15.75" outlineLevelCol="1"/>
  <cols>
    <col min="1" max="1" width="18.875" customWidth="1"/>
    <col min="2" max="2" width="10.875" style="3" customWidth="1"/>
    <col min="3" max="3" width="21" customWidth="1"/>
    <col min="4" max="4" width="10" style="21" customWidth="1"/>
    <col min="5" max="5" width="13" customWidth="1"/>
    <col min="6" max="6" width="4" customWidth="1"/>
    <col min="7" max="7" width="7.125" customWidth="1"/>
    <col min="8" max="8" width="8.375" bestFit="1" customWidth="1"/>
    <col min="9" max="9" width="10.875" bestFit="1" customWidth="1"/>
    <col min="10" max="10" width="12" bestFit="1" customWidth="1"/>
    <col min="11" max="11" width="22.75" customWidth="1"/>
    <col min="12" max="12" width="13.375" customWidth="1"/>
    <col min="13" max="13" width="12.875" customWidth="1"/>
    <col min="14" max="14" width="11.25" style="3" customWidth="1"/>
    <col min="15" max="15" width="7.625" customWidth="1" outlineLevel="1"/>
    <col min="16" max="16" width="14.5" customWidth="1" outlineLevel="1"/>
    <col min="17" max="17" width="15.375" customWidth="1" outlineLevel="1"/>
    <col min="18" max="18" width="26.125" customWidth="1" outlineLevel="1"/>
    <col min="19" max="19" width="27" customWidth="1" outlineLevel="1"/>
    <col min="20" max="20" width="3" customWidth="1"/>
    <col min="21" max="29" width="11.125" hidden="1" customWidth="1" outlineLevel="1"/>
    <col min="30" max="31" width="12.125" hidden="1" customWidth="1" outlineLevel="1"/>
    <col min="32" max="32" width="15" style="13" bestFit="1" customWidth="1" collapsed="1"/>
    <col min="33" max="41" width="11" hidden="1" customWidth="1" outlineLevel="1"/>
    <col min="42" max="49" width="12" hidden="1" customWidth="1" outlineLevel="1"/>
    <col min="50" max="50" width="14.875" style="9" bestFit="1" customWidth="1" collapsed="1"/>
    <col min="51" max="51" width="14.75" style="6" hidden="1" customWidth="1" outlineLevel="1"/>
    <col min="52" max="52" width="15.875" style="6" hidden="1" customWidth="1" outlineLevel="1"/>
    <col min="53" max="53" width="14.25" style="6" hidden="1" customWidth="1" outlineLevel="1"/>
    <col min="54" max="54" width="14.75" style="6" hidden="1" customWidth="1" outlineLevel="1"/>
    <col min="55" max="55" width="13.875" style="6" hidden="1" customWidth="1" outlineLevel="1"/>
    <col min="56" max="56" width="15" style="6" hidden="1" customWidth="1" outlineLevel="1"/>
    <col min="57" max="57" width="13.375" style="6" hidden="1" customWidth="1" outlineLevel="1"/>
    <col min="58" max="58" width="13.875" style="6" hidden="1" customWidth="1" outlineLevel="1"/>
    <col min="59" max="59" width="13.625" style="6" hidden="1" customWidth="1" outlineLevel="1"/>
    <col min="60" max="60" width="14.75" style="6" hidden="1" customWidth="1" outlineLevel="1"/>
    <col min="61" max="61" width="13.125" style="6" hidden="1" customWidth="1" outlineLevel="1"/>
    <col min="62" max="62" width="13.625" style="6" hidden="1" customWidth="1" outlineLevel="1"/>
    <col min="63" max="63" width="15.375" style="6" hidden="1" customWidth="1" outlineLevel="1"/>
    <col min="64" max="64" width="13.75" style="6" hidden="1" customWidth="1" outlineLevel="1"/>
    <col min="65" max="65" width="14.25" style="6" hidden="1" customWidth="1" outlineLevel="1"/>
    <col min="66" max="66" width="12.75" style="14" customWidth="1" collapsed="1"/>
    <col min="67" max="67" width="32.25" style="16" customWidth="1"/>
    <col min="68" max="68" width="38.5" style="19" customWidth="1"/>
    <col min="69" max="69" width="40.125" customWidth="1"/>
    <col min="70" max="70" width="8" bestFit="1" customWidth="1"/>
    <col min="71" max="71" width="14.5" customWidth="1"/>
    <col min="72" max="72" width="15.375" customWidth="1"/>
    <col min="73" max="73" width="13.375" customWidth="1"/>
    <col min="74" max="74" width="25.25" customWidth="1"/>
    <col min="75" max="83" width="11.125" bestFit="1" customWidth="1"/>
    <col min="84" max="85" width="12.125" bestFit="1" customWidth="1"/>
    <col min="86" max="86" width="15" customWidth="1"/>
    <col min="87" max="95" width="11" bestFit="1" customWidth="1"/>
    <col min="96" max="103" width="12" bestFit="1" customWidth="1"/>
    <col min="104" max="104" width="14.875" bestFit="1" customWidth="1"/>
    <col min="105" max="105" width="14.75" style="6" customWidth="1"/>
    <col min="106" max="106" width="15.875" style="6" customWidth="1"/>
    <col min="107" max="107" width="14.25" style="6" customWidth="1"/>
    <col min="108" max="108" width="14.75" style="6" customWidth="1"/>
    <col min="109" max="109" width="13.875" style="6" customWidth="1"/>
    <col min="110" max="110" width="15" style="6" customWidth="1"/>
    <col min="111" max="111" width="13.375" style="6" customWidth="1"/>
    <col min="112" max="112" width="13.875" style="6" customWidth="1"/>
    <col min="113" max="113" width="13.625" style="6" customWidth="1"/>
    <col min="114" max="114" width="14.75" style="6" customWidth="1"/>
    <col min="115" max="115" width="13.125" style="6" customWidth="1"/>
    <col min="116" max="116" width="13.625" style="6" customWidth="1"/>
    <col min="117" max="117" width="15.375" style="6" customWidth="1"/>
    <col min="118" max="118" width="13.75" style="6" customWidth="1"/>
    <col min="119" max="119" width="14.25" style="6" customWidth="1"/>
    <col min="120" max="120" width="12.75" style="6" customWidth="1"/>
    <col min="121" max="121" width="19.875" customWidth="1"/>
    <col min="122" max="122" width="34.875" customWidth="1"/>
    <col min="123" max="123" width="10" customWidth="1"/>
    <col min="124" max="124" width="7.625" bestFit="1" customWidth="1"/>
    <col min="125" max="125" width="14.5" bestFit="1" customWidth="1"/>
    <col min="126" max="126" width="15.375" bestFit="1" customWidth="1"/>
    <col min="127" max="127" width="13.375" bestFit="1" customWidth="1"/>
    <col min="128" max="128" width="25.875" customWidth="1"/>
    <col min="129" max="137" width="11.125" bestFit="1" customWidth="1"/>
    <col min="138" max="139" width="12.125" bestFit="1" customWidth="1"/>
    <col min="140" max="140" width="15" bestFit="1" customWidth="1"/>
    <col min="141" max="149" width="11" bestFit="1" customWidth="1"/>
    <col min="150" max="157" width="12" bestFit="1" customWidth="1"/>
    <col min="158" max="158" width="14.875" bestFit="1" customWidth="1"/>
    <col min="159" max="159" width="14.75" customWidth="1"/>
    <col min="160" max="160" width="15.875" customWidth="1"/>
    <col min="161" max="161" width="14.25" customWidth="1"/>
    <col min="162" max="162" width="14.75" customWidth="1"/>
    <col min="163" max="163" width="13.875" customWidth="1"/>
    <col min="164" max="164" width="15" customWidth="1"/>
    <col min="165" max="165" width="13.375" customWidth="1"/>
    <col min="166" max="166" width="13.875" customWidth="1"/>
    <col min="167" max="167" width="13.625" customWidth="1"/>
    <col min="168" max="168" width="14.75" customWidth="1"/>
    <col min="169" max="169" width="13.125" customWidth="1"/>
    <col min="170" max="170" width="13.625" customWidth="1"/>
    <col min="171" max="171" width="15.375" customWidth="1"/>
    <col min="172" max="172" width="13.75" customWidth="1"/>
    <col min="173" max="173" width="14.25" customWidth="1"/>
    <col min="174" max="174" width="12.75" customWidth="1"/>
    <col min="175" max="175" width="11.625" customWidth="1"/>
    <col min="176" max="176" width="29.75" customWidth="1"/>
    <col min="177" max="177" width="10" bestFit="1" customWidth="1"/>
    <col min="178" max="178" width="7.625" bestFit="1" customWidth="1"/>
    <col min="179" max="179" width="14.5" bestFit="1" customWidth="1"/>
    <col min="180" max="180" width="15.375" bestFit="1" customWidth="1"/>
    <col min="181" max="181" width="13.375" bestFit="1" customWidth="1"/>
    <col min="182" max="182" width="22" customWidth="1"/>
    <col min="183" max="191" width="11.125" bestFit="1" customWidth="1"/>
    <col min="192" max="193" width="12.125" bestFit="1" customWidth="1"/>
    <col min="194" max="194" width="15" bestFit="1" customWidth="1"/>
    <col min="195" max="203" width="11"/>
    <col min="204" max="211" width="12" bestFit="1" customWidth="1"/>
    <col min="212" max="212" width="14.875" bestFit="1" customWidth="1"/>
    <col min="213" max="213" width="14.75" bestFit="1" customWidth="1"/>
    <col min="214" max="214" width="15.875" bestFit="1" customWidth="1"/>
    <col min="215" max="215" width="14.25" bestFit="1" customWidth="1"/>
    <col min="216" max="216" width="14.75" bestFit="1" customWidth="1"/>
    <col min="217" max="217" width="13.875" bestFit="1" customWidth="1"/>
    <col min="218" max="218" width="15" bestFit="1" customWidth="1"/>
    <col min="219" max="219" width="13.375" bestFit="1" customWidth="1"/>
    <col min="220" max="220" width="13.875" bestFit="1" customWidth="1"/>
    <col min="221" max="221" width="13.625" bestFit="1" customWidth="1"/>
    <col min="222" max="222" width="14.75" bestFit="1" customWidth="1"/>
    <col min="223" max="223" width="13.125" bestFit="1" customWidth="1"/>
    <col min="224" max="224" width="13.625" bestFit="1" customWidth="1"/>
    <col min="225" max="225" width="15.375" bestFit="1" customWidth="1"/>
    <col min="226" max="226" width="13.75" bestFit="1" customWidth="1"/>
    <col min="227" max="227" width="14.25" bestFit="1" customWidth="1"/>
    <col min="228" max="228" width="12.75" bestFit="1" customWidth="1"/>
    <col min="229" max="229" width="32.125" customWidth="1"/>
    <col min="230" max="230" width="30.625" style="4" customWidth="1"/>
    <col min="231" max="231" width="18.375" customWidth="1"/>
    <col min="232" max="232" width="15.625" customWidth="1"/>
  </cols>
  <sheetData>
    <row r="1" spans="1:232" s="36" customFormat="1">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0"/>
      <c r="U1" s="31" t="s">
        <v>19</v>
      </c>
      <c r="V1" s="31" t="s">
        <v>20</v>
      </c>
      <c r="W1" s="31" t="s">
        <v>21</v>
      </c>
      <c r="X1" s="31" t="s">
        <v>22</v>
      </c>
      <c r="Y1" s="31" t="s">
        <v>23</v>
      </c>
      <c r="Z1" s="31" t="s">
        <v>24</v>
      </c>
      <c r="AA1" s="31" t="s">
        <v>25</v>
      </c>
      <c r="AB1" s="31" t="s">
        <v>26</v>
      </c>
      <c r="AC1" s="31" t="s">
        <v>27</v>
      </c>
      <c r="AD1" s="31" t="s">
        <v>28</v>
      </c>
      <c r="AE1" s="31" t="s">
        <v>29</v>
      </c>
      <c r="AF1" s="31" t="s">
        <v>30</v>
      </c>
      <c r="AG1" s="32" t="s">
        <v>31</v>
      </c>
      <c r="AH1" s="32" t="s">
        <v>32</v>
      </c>
      <c r="AI1" s="32" t="s">
        <v>33</v>
      </c>
      <c r="AJ1" s="32" t="s">
        <v>34</v>
      </c>
      <c r="AK1" s="32" t="s">
        <v>35</v>
      </c>
      <c r="AL1" s="32" t="s">
        <v>36</v>
      </c>
      <c r="AM1" s="32" t="s">
        <v>37</v>
      </c>
      <c r="AN1" s="32" t="s">
        <v>38</v>
      </c>
      <c r="AO1" s="32" t="s">
        <v>39</v>
      </c>
      <c r="AP1" s="32" t="s">
        <v>40</v>
      </c>
      <c r="AQ1" s="32" t="s">
        <v>41</v>
      </c>
      <c r="AR1" s="32" t="s">
        <v>42</v>
      </c>
      <c r="AS1" s="32" t="s">
        <v>43</v>
      </c>
      <c r="AT1" s="32" t="s">
        <v>44</v>
      </c>
      <c r="AU1" s="32" t="s">
        <v>45</v>
      </c>
      <c r="AV1" s="32" t="s">
        <v>46</v>
      </c>
      <c r="AW1" s="32" t="s">
        <v>47</v>
      </c>
      <c r="AX1" s="32" t="s">
        <v>48</v>
      </c>
      <c r="AY1" s="33" t="s">
        <v>49</v>
      </c>
      <c r="AZ1" s="33" t="s">
        <v>50</v>
      </c>
      <c r="BA1" s="33" t="s">
        <v>51</v>
      </c>
      <c r="BB1" s="33" t="s">
        <v>52</v>
      </c>
      <c r="BC1" s="33" t="s">
        <v>53</v>
      </c>
      <c r="BD1" s="33" t="s">
        <v>54</v>
      </c>
      <c r="BE1" s="33" t="s">
        <v>55</v>
      </c>
      <c r="BF1" s="33" t="s">
        <v>56</v>
      </c>
      <c r="BG1" s="33" t="s">
        <v>57</v>
      </c>
      <c r="BH1" s="33" t="s">
        <v>58</v>
      </c>
      <c r="BI1" s="33" t="s">
        <v>59</v>
      </c>
      <c r="BJ1" s="33" t="s">
        <v>60</v>
      </c>
      <c r="BK1" s="33" t="s">
        <v>61</v>
      </c>
      <c r="BL1" s="33" t="s">
        <v>62</v>
      </c>
      <c r="BM1" s="33" t="s">
        <v>63</v>
      </c>
      <c r="BN1" s="33" t="s">
        <v>64</v>
      </c>
      <c r="BO1" s="33" t="s">
        <v>65</v>
      </c>
      <c r="BP1" s="34" t="s">
        <v>66</v>
      </c>
      <c r="HV1" s="2"/>
      <c r="HW1" s="133"/>
      <c r="HX1" s="133"/>
    </row>
    <row r="2" spans="1:232" s="36" customFormat="1" ht="42" customHeight="1">
      <c r="A2" s="36" t="s">
        <v>672</v>
      </c>
      <c r="B2" s="38" t="s">
        <v>239</v>
      </c>
      <c r="C2" s="2" t="s">
        <v>673</v>
      </c>
      <c r="D2" s="37" t="s">
        <v>239</v>
      </c>
      <c r="E2" s="36" t="s">
        <v>674</v>
      </c>
      <c r="F2" s="36">
        <v>43</v>
      </c>
      <c r="G2" s="2" t="s">
        <v>300</v>
      </c>
      <c r="H2" s="2" t="s">
        <v>675</v>
      </c>
      <c r="I2" s="2" t="s">
        <v>237</v>
      </c>
      <c r="J2" s="2" t="s">
        <v>237</v>
      </c>
      <c r="K2" s="2" t="s">
        <v>237</v>
      </c>
      <c r="L2" s="2" t="s">
        <v>239</v>
      </c>
      <c r="M2" s="2" t="s">
        <v>239</v>
      </c>
      <c r="N2" s="30" t="s">
        <v>676</v>
      </c>
      <c r="O2" s="36" t="s">
        <v>677</v>
      </c>
      <c r="P2" s="2" t="s">
        <v>247</v>
      </c>
      <c r="Q2" s="2">
        <v>1374840</v>
      </c>
      <c r="R2" s="2">
        <v>48</v>
      </c>
      <c r="S2" s="2" t="s">
        <v>678</v>
      </c>
      <c r="T2" s="2"/>
      <c r="U2" s="36">
        <v>0</v>
      </c>
      <c r="V2" s="36">
        <v>0</v>
      </c>
      <c r="W2" s="36">
        <v>0</v>
      </c>
      <c r="X2" s="36">
        <v>0</v>
      </c>
      <c r="Y2" s="36">
        <v>0</v>
      </c>
      <c r="Z2" s="36">
        <v>0</v>
      </c>
      <c r="AA2" s="36">
        <v>0</v>
      </c>
      <c r="AB2" s="36">
        <v>0</v>
      </c>
      <c r="AC2" s="36">
        <v>0</v>
      </c>
      <c r="AD2" s="36">
        <v>0</v>
      </c>
      <c r="AE2" s="36">
        <v>0</v>
      </c>
      <c r="AF2" s="39">
        <f t="shared" ref="AF2:AF15" si="0">SUM(U2:AE2)</f>
        <v>0</v>
      </c>
      <c r="AG2" s="36">
        <v>0</v>
      </c>
      <c r="AH2" s="36">
        <v>0</v>
      </c>
      <c r="AI2" s="36">
        <v>0</v>
      </c>
      <c r="AJ2" s="36">
        <v>0</v>
      </c>
      <c r="AK2" s="36">
        <v>1</v>
      </c>
      <c r="AL2" s="36">
        <v>0</v>
      </c>
      <c r="AM2" s="36">
        <v>0</v>
      </c>
      <c r="AN2" s="36">
        <v>0</v>
      </c>
      <c r="AO2" s="36">
        <v>0</v>
      </c>
      <c r="AP2" s="36">
        <v>1</v>
      </c>
      <c r="AQ2" s="36">
        <v>0</v>
      </c>
      <c r="AR2" s="36">
        <v>1</v>
      </c>
      <c r="AS2" s="36">
        <v>0</v>
      </c>
      <c r="AT2" s="36">
        <v>0</v>
      </c>
      <c r="AU2" s="36">
        <v>0</v>
      </c>
      <c r="AV2" s="36">
        <v>0</v>
      </c>
      <c r="AW2" s="36">
        <v>0</v>
      </c>
      <c r="AX2" s="40">
        <f t="shared" ref="AX2:AX9" si="1">SUM(AG2:AW2)</f>
        <v>3</v>
      </c>
      <c r="AY2" s="36">
        <v>0</v>
      </c>
      <c r="AZ2" s="36">
        <v>0</v>
      </c>
      <c r="BA2" s="36">
        <v>0</v>
      </c>
      <c r="BB2" s="36">
        <v>0</v>
      </c>
      <c r="BC2" s="36">
        <v>0</v>
      </c>
      <c r="BD2" s="36">
        <v>0</v>
      </c>
      <c r="BE2" s="36">
        <v>0</v>
      </c>
      <c r="BF2" s="36">
        <f t="shared" ref="BF2:BF29" si="2">4*(BC2*(BD2*60+BE2))</f>
        <v>0</v>
      </c>
      <c r="BG2" s="36">
        <v>3</v>
      </c>
      <c r="BH2" s="36">
        <v>0</v>
      </c>
      <c r="BI2" s="36">
        <v>25</v>
      </c>
      <c r="BJ2" s="36">
        <f t="shared" ref="BJ2:BJ27" si="3">3.3*(BG2*(BH2*60+BI2))</f>
        <v>247.5</v>
      </c>
      <c r="BK2" s="36">
        <v>6</v>
      </c>
      <c r="BL2" s="36">
        <v>0</v>
      </c>
      <c r="BM2" s="36">
        <f t="shared" ref="BM2:BM26" si="4">1*(7*(BK2*60+BL2))</f>
        <v>2520</v>
      </c>
      <c r="BN2" s="33">
        <f t="shared" ref="BN2:BN28" si="5">BB2+BF2+BJ2</f>
        <v>247.5</v>
      </c>
      <c r="BO2" s="41" t="s">
        <v>679</v>
      </c>
      <c r="BP2" s="35" t="s">
        <v>680</v>
      </c>
      <c r="HV2" s="2"/>
    </row>
    <row r="3" spans="1:232" s="42" customFormat="1" ht="42" customHeight="1">
      <c r="A3" s="36" t="s">
        <v>672</v>
      </c>
      <c r="B3" s="38" t="s">
        <v>239</v>
      </c>
      <c r="C3" s="2" t="s">
        <v>681</v>
      </c>
      <c r="D3" s="37" t="s">
        <v>239</v>
      </c>
      <c r="E3" s="36" t="s">
        <v>682</v>
      </c>
      <c r="F3" s="36">
        <v>31</v>
      </c>
      <c r="G3" s="2" t="s">
        <v>300</v>
      </c>
      <c r="H3" s="36" t="s">
        <v>237</v>
      </c>
      <c r="I3" s="36" t="s">
        <v>237</v>
      </c>
      <c r="J3" s="36" t="s">
        <v>237</v>
      </c>
      <c r="K3" s="36" t="s">
        <v>237</v>
      </c>
      <c r="L3" s="36" t="s">
        <v>239</v>
      </c>
      <c r="M3" s="36" t="s">
        <v>239</v>
      </c>
      <c r="N3" s="49" t="s">
        <v>676</v>
      </c>
      <c r="O3" s="48" t="s">
        <v>677</v>
      </c>
      <c r="P3" s="2" t="s">
        <v>242</v>
      </c>
      <c r="Q3" s="2">
        <v>1383220</v>
      </c>
      <c r="R3" s="2">
        <v>46</v>
      </c>
      <c r="S3" s="2" t="s">
        <v>239</v>
      </c>
      <c r="T3" s="2"/>
      <c r="U3" s="36">
        <v>0</v>
      </c>
      <c r="V3" s="36">
        <v>0</v>
      </c>
      <c r="W3" s="36">
        <v>0</v>
      </c>
      <c r="X3" s="36">
        <v>0</v>
      </c>
      <c r="Y3" s="36">
        <v>0</v>
      </c>
      <c r="Z3" s="36">
        <v>0</v>
      </c>
      <c r="AA3" s="36">
        <v>0</v>
      </c>
      <c r="AB3" s="36">
        <v>0</v>
      </c>
      <c r="AC3" s="36">
        <v>0</v>
      </c>
      <c r="AD3" s="36">
        <v>0</v>
      </c>
      <c r="AE3" s="36">
        <v>0</v>
      </c>
      <c r="AF3" s="39">
        <f t="shared" si="0"/>
        <v>0</v>
      </c>
      <c r="AG3" s="36">
        <v>0</v>
      </c>
      <c r="AH3" s="36">
        <v>0</v>
      </c>
      <c r="AI3" s="36">
        <v>0</v>
      </c>
      <c r="AJ3" s="36">
        <v>0</v>
      </c>
      <c r="AK3" s="36">
        <v>0</v>
      </c>
      <c r="AL3" s="36">
        <v>1</v>
      </c>
      <c r="AM3" s="36">
        <v>0</v>
      </c>
      <c r="AN3" s="36">
        <v>0</v>
      </c>
      <c r="AO3" s="36">
        <v>0</v>
      </c>
      <c r="AP3" s="36">
        <v>0</v>
      </c>
      <c r="AQ3" s="36">
        <v>0</v>
      </c>
      <c r="AR3" s="36">
        <v>0</v>
      </c>
      <c r="AS3" s="36">
        <v>0</v>
      </c>
      <c r="AT3" s="36">
        <v>0</v>
      </c>
      <c r="AU3" s="36">
        <v>0</v>
      </c>
      <c r="AV3" s="36">
        <v>0</v>
      </c>
      <c r="AW3" s="36">
        <v>0</v>
      </c>
      <c r="AX3" s="40">
        <f t="shared" si="1"/>
        <v>1</v>
      </c>
      <c r="AY3" s="36">
        <v>3</v>
      </c>
      <c r="AZ3" s="36">
        <v>0</v>
      </c>
      <c r="BA3" s="36">
        <v>30</v>
      </c>
      <c r="BB3" s="36">
        <f t="shared" ref="BB3:BB30" si="6">8*(AY3*(AZ3*60+BA3))</f>
        <v>720</v>
      </c>
      <c r="BC3" s="36">
        <v>3</v>
      </c>
      <c r="BD3" s="36">
        <v>0</v>
      </c>
      <c r="BE3" s="36">
        <v>30</v>
      </c>
      <c r="BF3" s="36">
        <f t="shared" si="2"/>
        <v>360</v>
      </c>
      <c r="BG3" s="36">
        <v>7</v>
      </c>
      <c r="BH3" s="36">
        <v>1</v>
      </c>
      <c r="BI3" s="36">
        <v>30</v>
      </c>
      <c r="BJ3" s="36">
        <f t="shared" si="3"/>
        <v>2079</v>
      </c>
      <c r="BK3" s="36">
        <v>8</v>
      </c>
      <c r="BL3" s="36">
        <v>0</v>
      </c>
      <c r="BM3" s="36">
        <f t="shared" si="4"/>
        <v>3360</v>
      </c>
      <c r="BN3" s="33">
        <f t="shared" si="5"/>
        <v>3159</v>
      </c>
      <c r="BO3" s="43" t="s">
        <v>239</v>
      </c>
      <c r="BP3" s="34" t="s">
        <v>239</v>
      </c>
      <c r="CH3" s="36"/>
      <c r="CZ3" s="36"/>
      <c r="DA3" s="36"/>
      <c r="DB3" s="36"/>
      <c r="DC3" s="36"/>
      <c r="DD3" s="36"/>
      <c r="DE3" s="36"/>
      <c r="DF3" s="36"/>
      <c r="DG3" s="36"/>
      <c r="DH3" s="36"/>
      <c r="DI3" s="36"/>
      <c r="DJ3" s="36"/>
      <c r="DK3" s="36"/>
      <c r="DL3" s="36"/>
      <c r="DM3" s="36"/>
      <c r="DN3" s="36"/>
      <c r="DO3" s="36"/>
      <c r="DP3" s="36"/>
      <c r="EJ3" s="36"/>
      <c r="FB3" s="36"/>
      <c r="FF3" s="36"/>
      <c r="FJ3" s="36"/>
      <c r="FK3" s="36"/>
      <c r="FL3" s="36"/>
      <c r="FM3" s="36"/>
      <c r="FN3" s="36"/>
      <c r="FO3" s="36"/>
      <c r="FP3" s="36"/>
      <c r="FQ3" s="36"/>
      <c r="FR3" s="36"/>
      <c r="GL3" s="36"/>
      <c r="HD3" s="36"/>
      <c r="HH3" s="36"/>
      <c r="HL3" s="36"/>
      <c r="HP3" s="36"/>
      <c r="HS3" s="36"/>
      <c r="HT3" s="36"/>
      <c r="HV3" s="2"/>
      <c r="HW3" s="64"/>
      <c r="HX3" s="36"/>
    </row>
    <row r="4" spans="1:232" s="136" customFormat="1" ht="42" customHeight="1">
      <c r="A4" s="136" t="s">
        <v>672</v>
      </c>
      <c r="B4" s="137" t="s">
        <v>239</v>
      </c>
      <c r="C4" s="137" t="s">
        <v>683</v>
      </c>
      <c r="D4" s="137" t="s">
        <v>239</v>
      </c>
      <c r="E4" s="136" t="s">
        <v>684</v>
      </c>
      <c r="F4" s="136">
        <v>32</v>
      </c>
      <c r="G4" s="137" t="s">
        <v>235</v>
      </c>
      <c r="H4" s="136" t="s">
        <v>237</v>
      </c>
      <c r="I4" s="136" t="s">
        <v>237</v>
      </c>
      <c r="J4" s="136" t="s">
        <v>237</v>
      </c>
      <c r="K4" s="136" t="s">
        <v>237</v>
      </c>
      <c r="L4" s="136" t="s">
        <v>239</v>
      </c>
      <c r="M4" s="136" t="s">
        <v>239</v>
      </c>
      <c r="N4" s="136" t="s">
        <v>685</v>
      </c>
      <c r="O4" s="136" t="s">
        <v>686</v>
      </c>
      <c r="P4" s="137" t="s">
        <v>247</v>
      </c>
      <c r="Q4" s="136">
        <v>1374854</v>
      </c>
      <c r="R4" s="137">
        <v>20</v>
      </c>
      <c r="S4" s="137" t="s">
        <v>239</v>
      </c>
      <c r="T4" s="137"/>
      <c r="U4" s="136">
        <v>0</v>
      </c>
      <c r="V4" s="136">
        <v>0</v>
      </c>
      <c r="W4" s="136">
        <v>0</v>
      </c>
      <c r="X4" s="136">
        <v>0</v>
      </c>
      <c r="Y4" s="136">
        <v>0</v>
      </c>
      <c r="Z4" s="136">
        <v>0</v>
      </c>
      <c r="AA4" s="136">
        <v>0</v>
      </c>
      <c r="AB4" s="136">
        <v>0</v>
      </c>
      <c r="AC4" s="136">
        <v>0</v>
      </c>
      <c r="AD4" s="136">
        <v>0</v>
      </c>
      <c r="AE4" s="136">
        <v>0</v>
      </c>
      <c r="AF4" s="137">
        <f t="shared" si="0"/>
        <v>0</v>
      </c>
      <c r="AG4" s="136">
        <v>0</v>
      </c>
      <c r="AH4" s="136">
        <v>0</v>
      </c>
      <c r="AI4" s="136">
        <v>0</v>
      </c>
      <c r="AJ4" s="136">
        <v>0</v>
      </c>
      <c r="AK4" s="136">
        <v>0</v>
      </c>
      <c r="AL4" s="136">
        <v>0</v>
      </c>
      <c r="AM4" s="136">
        <v>0</v>
      </c>
      <c r="AN4" s="136">
        <v>0</v>
      </c>
      <c r="AO4" s="136">
        <v>0</v>
      </c>
      <c r="AP4" s="136">
        <v>0</v>
      </c>
      <c r="AQ4" s="136">
        <v>0</v>
      </c>
      <c r="AR4" s="136">
        <v>0</v>
      </c>
      <c r="AS4" s="136">
        <v>0</v>
      </c>
      <c r="AT4" s="136">
        <v>0</v>
      </c>
      <c r="AU4" s="136">
        <v>0</v>
      </c>
      <c r="AV4" s="136">
        <v>0</v>
      </c>
      <c r="AW4" s="136">
        <v>0</v>
      </c>
      <c r="AX4" s="137">
        <f t="shared" si="1"/>
        <v>0</v>
      </c>
      <c r="AY4" s="136">
        <v>4</v>
      </c>
      <c r="AZ4" s="136">
        <v>0</v>
      </c>
      <c r="BA4" s="136">
        <v>30</v>
      </c>
      <c r="BB4" s="136">
        <f t="shared" si="6"/>
        <v>960</v>
      </c>
      <c r="BC4" s="136">
        <v>0</v>
      </c>
      <c r="BD4" s="136">
        <v>0</v>
      </c>
      <c r="BE4" s="136">
        <v>0</v>
      </c>
      <c r="BF4" s="136">
        <f t="shared" si="2"/>
        <v>0</v>
      </c>
      <c r="BG4" s="136">
        <v>7</v>
      </c>
      <c r="BH4" s="136">
        <v>7</v>
      </c>
      <c r="BI4" s="136">
        <v>0</v>
      </c>
      <c r="BJ4" s="136">
        <f t="shared" si="3"/>
        <v>9702</v>
      </c>
      <c r="BK4" s="136">
        <v>8</v>
      </c>
      <c r="BL4" s="136">
        <v>0</v>
      </c>
      <c r="BM4" s="136">
        <f t="shared" si="4"/>
        <v>3360</v>
      </c>
      <c r="BN4" s="136">
        <f t="shared" si="5"/>
        <v>10662</v>
      </c>
      <c r="BO4" s="136" t="s">
        <v>239</v>
      </c>
      <c r="BP4" s="136" t="s">
        <v>687</v>
      </c>
      <c r="HV4" s="137"/>
    </row>
    <row r="5" spans="1:232" s="42" customFormat="1" ht="42" customHeight="1">
      <c r="A5" s="36" t="s">
        <v>672</v>
      </c>
      <c r="B5" s="38" t="s">
        <v>239</v>
      </c>
      <c r="C5" s="36" t="s">
        <v>688</v>
      </c>
      <c r="D5" s="37" t="s">
        <v>239</v>
      </c>
      <c r="E5" s="36" t="s">
        <v>689</v>
      </c>
      <c r="F5" s="36">
        <v>29</v>
      </c>
      <c r="G5" s="2" t="s">
        <v>235</v>
      </c>
      <c r="H5" s="36" t="s">
        <v>237</v>
      </c>
      <c r="I5" s="36" t="s">
        <v>237</v>
      </c>
      <c r="J5" s="36" t="s">
        <v>237</v>
      </c>
      <c r="K5" s="36" t="s">
        <v>237</v>
      </c>
      <c r="L5" s="36" t="s">
        <v>239</v>
      </c>
      <c r="M5" s="36" t="s">
        <v>239</v>
      </c>
      <c r="N5" s="30" t="s">
        <v>690</v>
      </c>
      <c r="O5" s="36" t="s">
        <v>691</v>
      </c>
      <c r="P5" s="2" t="s">
        <v>242</v>
      </c>
      <c r="Q5" s="36">
        <v>1236295</v>
      </c>
      <c r="R5" s="2">
        <v>46</v>
      </c>
      <c r="S5" s="2" t="s">
        <v>239</v>
      </c>
      <c r="T5" s="2"/>
      <c r="U5" s="36">
        <v>0</v>
      </c>
      <c r="V5" s="36">
        <v>0</v>
      </c>
      <c r="W5" s="36">
        <v>0</v>
      </c>
      <c r="X5" s="36">
        <v>0</v>
      </c>
      <c r="Y5" s="36">
        <v>0</v>
      </c>
      <c r="Z5" s="36">
        <v>0</v>
      </c>
      <c r="AA5" s="36">
        <v>0</v>
      </c>
      <c r="AB5" s="36">
        <v>0</v>
      </c>
      <c r="AC5" s="36">
        <v>0</v>
      </c>
      <c r="AD5" s="36">
        <v>0</v>
      </c>
      <c r="AE5" s="36">
        <v>0</v>
      </c>
      <c r="AF5" s="39">
        <f t="shared" si="0"/>
        <v>0</v>
      </c>
      <c r="AG5" s="36">
        <v>0</v>
      </c>
      <c r="AH5" s="36">
        <v>0</v>
      </c>
      <c r="AI5" s="36">
        <v>0</v>
      </c>
      <c r="AJ5" s="36">
        <v>1</v>
      </c>
      <c r="AK5" s="36">
        <v>0</v>
      </c>
      <c r="AL5" s="36">
        <v>0</v>
      </c>
      <c r="AM5" s="36">
        <v>0</v>
      </c>
      <c r="AN5" s="36">
        <v>0</v>
      </c>
      <c r="AO5" s="36">
        <v>0</v>
      </c>
      <c r="AP5" s="36">
        <v>1</v>
      </c>
      <c r="AQ5" s="36">
        <v>0</v>
      </c>
      <c r="AR5" s="36">
        <v>0</v>
      </c>
      <c r="AS5" s="36">
        <v>0</v>
      </c>
      <c r="AT5" s="36">
        <v>0</v>
      </c>
      <c r="AU5" s="36">
        <v>0</v>
      </c>
      <c r="AV5" s="36">
        <v>0</v>
      </c>
      <c r="AW5" s="36">
        <v>0</v>
      </c>
      <c r="AX5" s="40">
        <f t="shared" si="1"/>
        <v>2</v>
      </c>
      <c r="AY5" s="36">
        <v>3</v>
      </c>
      <c r="AZ5" s="36">
        <v>1</v>
      </c>
      <c r="BA5" s="36">
        <v>30</v>
      </c>
      <c r="BB5" s="36">
        <f t="shared" si="6"/>
        <v>2160</v>
      </c>
      <c r="BC5" s="36">
        <v>0</v>
      </c>
      <c r="BD5" s="36">
        <v>0</v>
      </c>
      <c r="BE5" s="36">
        <v>0</v>
      </c>
      <c r="BF5" s="36">
        <f t="shared" si="2"/>
        <v>0</v>
      </c>
      <c r="BG5" s="36">
        <v>7</v>
      </c>
      <c r="BH5" s="36">
        <v>0</v>
      </c>
      <c r="BI5" s="36">
        <v>15</v>
      </c>
      <c r="BJ5" s="36">
        <f t="shared" si="3"/>
        <v>346.5</v>
      </c>
      <c r="BK5" s="36">
        <v>12</v>
      </c>
      <c r="BL5" s="36">
        <v>0</v>
      </c>
      <c r="BM5" s="36">
        <f t="shared" si="4"/>
        <v>5040</v>
      </c>
      <c r="BN5" s="33">
        <f t="shared" si="5"/>
        <v>2506.5</v>
      </c>
      <c r="BO5" s="41" t="s">
        <v>692</v>
      </c>
      <c r="BP5" s="35" t="s">
        <v>239</v>
      </c>
      <c r="CH5" s="36"/>
      <c r="CZ5" s="36"/>
      <c r="DA5" s="36"/>
      <c r="DB5" s="36"/>
      <c r="DC5" s="36"/>
      <c r="DD5" s="36"/>
      <c r="DE5" s="36"/>
      <c r="DF5" s="36"/>
      <c r="DG5" s="36"/>
      <c r="DH5" s="36"/>
      <c r="DI5" s="36"/>
      <c r="DJ5" s="36"/>
      <c r="DK5" s="36"/>
      <c r="DL5" s="36"/>
      <c r="DM5" s="36"/>
      <c r="DN5" s="36"/>
      <c r="DO5" s="36"/>
      <c r="DP5" s="36"/>
      <c r="EJ5" s="36"/>
      <c r="FB5" s="36"/>
      <c r="FF5" s="36"/>
      <c r="FJ5" s="36"/>
      <c r="FK5" s="36"/>
      <c r="FL5" s="36"/>
      <c r="FM5" s="36"/>
      <c r="FN5" s="36"/>
      <c r="FO5" s="36"/>
      <c r="FP5" s="36"/>
      <c r="FQ5" s="36"/>
      <c r="FR5" s="36"/>
      <c r="GL5" s="36"/>
      <c r="HD5" s="36"/>
      <c r="HH5" s="36"/>
      <c r="HL5" s="36"/>
      <c r="HP5" s="36"/>
      <c r="HS5" s="36"/>
      <c r="HT5" s="36"/>
      <c r="HV5" s="2"/>
      <c r="HW5" s="64"/>
      <c r="HX5" s="36"/>
    </row>
    <row r="6" spans="1:232" s="42" customFormat="1" ht="42" customHeight="1">
      <c r="A6" s="36" t="s">
        <v>672</v>
      </c>
      <c r="B6" s="38" t="s">
        <v>239</v>
      </c>
      <c r="C6" s="36" t="s">
        <v>693</v>
      </c>
      <c r="D6" s="37" t="s">
        <v>239</v>
      </c>
      <c r="E6" s="36" t="s">
        <v>694</v>
      </c>
      <c r="F6" s="36">
        <v>39</v>
      </c>
      <c r="G6" s="2" t="s">
        <v>235</v>
      </c>
      <c r="H6" s="36" t="s">
        <v>237</v>
      </c>
      <c r="I6" s="36" t="s">
        <v>237</v>
      </c>
      <c r="J6" s="36" t="s">
        <v>237</v>
      </c>
      <c r="K6" s="36" t="s">
        <v>237</v>
      </c>
      <c r="L6" s="36" t="s">
        <v>239</v>
      </c>
      <c r="M6" s="36" t="s">
        <v>239</v>
      </c>
      <c r="N6" s="30" t="s">
        <v>695</v>
      </c>
      <c r="O6" s="36" t="s">
        <v>696</v>
      </c>
      <c r="P6" s="2" t="s">
        <v>242</v>
      </c>
      <c r="Q6" s="36">
        <v>1197959</v>
      </c>
      <c r="R6" s="2">
        <v>26</v>
      </c>
      <c r="S6" s="2" t="s">
        <v>239</v>
      </c>
      <c r="T6" s="2"/>
      <c r="U6" s="36">
        <v>0</v>
      </c>
      <c r="V6" s="36">
        <v>0</v>
      </c>
      <c r="W6" s="36">
        <v>0</v>
      </c>
      <c r="X6" s="36">
        <v>0</v>
      </c>
      <c r="Y6" s="36">
        <v>0</v>
      </c>
      <c r="Z6" s="36">
        <v>0</v>
      </c>
      <c r="AA6" s="36">
        <v>0</v>
      </c>
      <c r="AB6" s="36">
        <v>0</v>
      </c>
      <c r="AC6" s="36">
        <v>0</v>
      </c>
      <c r="AD6" s="36">
        <v>0</v>
      </c>
      <c r="AE6" s="36">
        <v>0</v>
      </c>
      <c r="AF6" s="39">
        <f t="shared" si="0"/>
        <v>0</v>
      </c>
      <c r="AG6" s="36">
        <v>0</v>
      </c>
      <c r="AH6" s="36">
        <v>0</v>
      </c>
      <c r="AI6" s="36">
        <v>0</v>
      </c>
      <c r="AJ6" s="36">
        <v>0</v>
      </c>
      <c r="AK6" s="36">
        <v>0</v>
      </c>
      <c r="AL6" s="36">
        <v>0</v>
      </c>
      <c r="AM6" s="36">
        <v>0</v>
      </c>
      <c r="AN6" s="36">
        <v>0</v>
      </c>
      <c r="AO6" s="36">
        <v>0</v>
      </c>
      <c r="AP6" s="36">
        <v>0</v>
      </c>
      <c r="AQ6" s="36">
        <v>0</v>
      </c>
      <c r="AR6" s="36">
        <v>0</v>
      </c>
      <c r="AS6" s="36">
        <v>0</v>
      </c>
      <c r="AT6" s="36">
        <v>0</v>
      </c>
      <c r="AU6" s="36">
        <v>0</v>
      </c>
      <c r="AV6" s="36">
        <v>0</v>
      </c>
      <c r="AW6" s="36">
        <v>0</v>
      </c>
      <c r="AX6" s="40">
        <f t="shared" si="1"/>
        <v>0</v>
      </c>
      <c r="AY6" s="36">
        <v>0</v>
      </c>
      <c r="AZ6" s="36">
        <v>0</v>
      </c>
      <c r="BA6" s="36">
        <v>0</v>
      </c>
      <c r="BB6" s="36">
        <f t="shared" si="6"/>
        <v>0</v>
      </c>
      <c r="BC6" s="36">
        <v>1</v>
      </c>
      <c r="BD6" s="36">
        <v>1</v>
      </c>
      <c r="BE6" s="36">
        <v>30</v>
      </c>
      <c r="BF6" s="36">
        <f t="shared" si="2"/>
        <v>360</v>
      </c>
      <c r="BG6" s="36">
        <v>7</v>
      </c>
      <c r="BH6" s="36">
        <v>1</v>
      </c>
      <c r="BI6" s="36">
        <v>0</v>
      </c>
      <c r="BJ6" s="36">
        <f t="shared" si="3"/>
        <v>1386</v>
      </c>
      <c r="BK6" s="36">
        <v>8</v>
      </c>
      <c r="BL6" s="36">
        <v>0</v>
      </c>
      <c r="BM6" s="36">
        <f t="shared" si="4"/>
        <v>3360</v>
      </c>
      <c r="BN6" s="33">
        <f t="shared" si="5"/>
        <v>1746</v>
      </c>
      <c r="BO6" s="41" t="s">
        <v>697</v>
      </c>
      <c r="BP6" s="35" t="s">
        <v>239</v>
      </c>
      <c r="CH6" s="36"/>
      <c r="CZ6" s="36"/>
      <c r="DA6" s="36"/>
      <c r="DB6" s="36"/>
      <c r="DC6" s="36"/>
      <c r="DD6" s="36"/>
      <c r="DE6" s="36"/>
      <c r="DF6" s="36"/>
      <c r="DG6" s="36"/>
      <c r="DH6" s="36"/>
      <c r="DI6" s="36"/>
      <c r="DJ6" s="36"/>
      <c r="DK6" s="36"/>
      <c r="DL6" s="36"/>
      <c r="DM6" s="36"/>
      <c r="DN6" s="36"/>
      <c r="DO6" s="36"/>
      <c r="DP6" s="36"/>
      <c r="EJ6" s="36"/>
      <c r="FB6" s="36"/>
      <c r="FF6" s="36"/>
      <c r="FJ6" s="36"/>
      <c r="FK6" s="36"/>
      <c r="FL6" s="36"/>
      <c r="FM6" s="36"/>
      <c r="FN6" s="36"/>
      <c r="FO6" s="36"/>
      <c r="FP6" s="36"/>
      <c r="FQ6" s="36"/>
      <c r="FR6" s="36"/>
      <c r="GL6" s="36"/>
      <c r="HD6" s="36"/>
      <c r="HH6" s="36"/>
      <c r="HL6" s="36"/>
      <c r="HP6" s="36"/>
      <c r="HS6" s="36"/>
      <c r="HT6" s="36"/>
      <c r="HV6" s="2"/>
      <c r="HW6" s="64"/>
      <c r="HX6" s="36"/>
    </row>
    <row r="7" spans="1:232" s="36" customFormat="1" ht="42" customHeight="1">
      <c r="A7" s="36" t="s">
        <v>672</v>
      </c>
      <c r="B7" s="38" t="s">
        <v>239</v>
      </c>
      <c r="C7" s="36" t="s">
        <v>698</v>
      </c>
      <c r="D7" s="37" t="s">
        <v>239</v>
      </c>
      <c r="E7" s="36" t="s">
        <v>699</v>
      </c>
      <c r="F7" s="36">
        <v>28</v>
      </c>
      <c r="G7" s="36" t="s">
        <v>300</v>
      </c>
      <c r="H7" s="36" t="s">
        <v>237</v>
      </c>
      <c r="I7" s="36" t="s">
        <v>237</v>
      </c>
      <c r="J7" s="36" t="s">
        <v>237</v>
      </c>
      <c r="K7" s="36" t="s">
        <v>237</v>
      </c>
      <c r="L7" s="36" t="s">
        <v>239</v>
      </c>
      <c r="M7" s="36" t="s">
        <v>239</v>
      </c>
      <c r="N7" s="30" t="s">
        <v>700</v>
      </c>
      <c r="O7" s="52">
        <v>0.69791666666666663</v>
      </c>
      <c r="P7" s="36" t="s">
        <v>242</v>
      </c>
      <c r="Q7" s="36">
        <v>1383301</v>
      </c>
      <c r="R7" s="36">
        <v>41</v>
      </c>
      <c r="S7" s="2" t="s">
        <v>237</v>
      </c>
      <c r="T7" s="2"/>
      <c r="U7" s="36">
        <v>0</v>
      </c>
      <c r="V7" s="36">
        <v>0</v>
      </c>
      <c r="W7" s="36">
        <v>0</v>
      </c>
      <c r="X7" s="36">
        <v>0</v>
      </c>
      <c r="Y7" s="36">
        <v>0</v>
      </c>
      <c r="Z7" s="36">
        <v>0</v>
      </c>
      <c r="AA7" s="36">
        <v>0</v>
      </c>
      <c r="AB7" s="36">
        <v>0</v>
      </c>
      <c r="AC7" s="36">
        <v>0</v>
      </c>
      <c r="AD7" s="36">
        <v>0</v>
      </c>
      <c r="AE7" s="36">
        <v>0</v>
      </c>
      <c r="AF7" s="39">
        <f t="shared" si="0"/>
        <v>0</v>
      </c>
      <c r="AG7" s="36">
        <v>0</v>
      </c>
      <c r="AH7" s="36">
        <v>0</v>
      </c>
      <c r="AI7" s="36">
        <v>0</v>
      </c>
      <c r="AJ7" s="36">
        <v>1</v>
      </c>
      <c r="AK7" s="36">
        <v>0</v>
      </c>
      <c r="AL7" s="36">
        <v>0</v>
      </c>
      <c r="AM7" s="36">
        <v>0</v>
      </c>
      <c r="AN7" s="36">
        <v>0</v>
      </c>
      <c r="AO7" s="36">
        <v>0</v>
      </c>
      <c r="AP7" s="36">
        <v>0</v>
      </c>
      <c r="AQ7" s="36">
        <v>0</v>
      </c>
      <c r="AR7" s="36">
        <v>0</v>
      </c>
      <c r="AS7" s="36">
        <v>0</v>
      </c>
      <c r="AT7" s="36">
        <v>0</v>
      </c>
      <c r="AU7" s="36">
        <v>0</v>
      </c>
      <c r="AV7" s="36">
        <v>0</v>
      </c>
      <c r="AW7" s="36">
        <v>0</v>
      </c>
      <c r="AX7" s="40">
        <f t="shared" si="1"/>
        <v>1</v>
      </c>
      <c r="AY7" s="36">
        <v>3</v>
      </c>
      <c r="AZ7" s="36">
        <v>0</v>
      </c>
      <c r="BA7" s="36">
        <v>50</v>
      </c>
      <c r="BB7" s="36">
        <f t="shared" si="6"/>
        <v>1200</v>
      </c>
      <c r="BC7" s="36">
        <v>1</v>
      </c>
      <c r="BD7" s="36">
        <v>0</v>
      </c>
      <c r="BE7" s="36">
        <v>40</v>
      </c>
      <c r="BF7" s="36">
        <f t="shared" si="2"/>
        <v>160</v>
      </c>
      <c r="BG7" s="36">
        <v>7</v>
      </c>
      <c r="BH7" s="36">
        <v>2</v>
      </c>
      <c r="BI7" s="36">
        <v>0</v>
      </c>
      <c r="BJ7" s="36">
        <f t="shared" si="3"/>
        <v>2772</v>
      </c>
      <c r="BK7" s="36">
        <v>7</v>
      </c>
      <c r="BL7" s="36">
        <v>0</v>
      </c>
      <c r="BM7" s="36">
        <f t="shared" si="4"/>
        <v>2940</v>
      </c>
      <c r="BN7" s="33">
        <f t="shared" si="5"/>
        <v>4132</v>
      </c>
      <c r="BO7" s="33" t="s">
        <v>239</v>
      </c>
      <c r="BP7" s="35" t="s">
        <v>701</v>
      </c>
      <c r="HV7" s="2"/>
    </row>
    <row r="8" spans="1:232" s="36" customFormat="1" ht="42" customHeight="1">
      <c r="A8" s="36" t="s">
        <v>672</v>
      </c>
      <c r="B8" s="30" t="s">
        <v>239</v>
      </c>
      <c r="C8" s="2" t="s">
        <v>702</v>
      </c>
      <c r="D8" s="37" t="s">
        <v>239</v>
      </c>
      <c r="E8" s="36" t="s">
        <v>703</v>
      </c>
      <c r="F8" s="36">
        <v>31</v>
      </c>
      <c r="G8" s="36" t="s">
        <v>235</v>
      </c>
      <c r="H8" s="36" t="s">
        <v>237</v>
      </c>
      <c r="I8" s="36" t="s">
        <v>237</v>
      </c>
      <c r="J8" s="36" t="s">
        <v>237</v>
      </c>
      <c r="K8" s="36" t="s">
        <v>237</v>
      </c>
      <c r="L8" s="36" t="s">
        <v>239</v>
      </c>
      <c r="M8" s="36" t="s">
        <v>239</v>
      </c>
      <c r="N8" s="30" t="s">
        <v>704</v>
      </c>
      <c r="O8" s="52">
        <v>0.55555555555555558</v>
      </c>
      <c r="P8" s="54" t="s">
        <v>242</v>
      </c>
      <c r="Q8" s="28">
        <v>1401843</v>
      </c>
      <c r="R8" s="2" t="s">
        <v>705</v>
      </c>
      <c r="S8" s="2" t="s">
        <v>239</v>
      </c>
      <c r="T8" s="2"/>
      <c r="U8" s="36">
        <v>0</v>
      </c>
      <c r="V8" s="36">
        <v>0</v>
      </c>
      <c r="W8" s="36">
        <v>0</v>
      </c>
      <c r="X8" s="36">
        <v>0</v>
      </c>
      <c r="Y8" s="36">
        <v>2</v>
      </c>
      <c r="Z8" s="36">
        <v>0</v>
      </c>
      <c r="AA8" s="36">
        <v>0</v>
      </c>
      <c r="AB8" s="36">
        <v>0</v>
      </c>
      <c r="AC8" s="36">
        <v>0</v>
      </c>
      <c r="AD8" s="36">
        <v>0</v>
      </c>
      <c r="AE8" s="36">
        <v>0</v>
      </c>
      <c r="AF8" s="39">
        <f t="shared" si="0"/>
        <v>2</v>
      </c>
      <c r="AG8" s="36">
        <v>0</v>
      </c>
      <c r="AH8" s="36">
        <v>0</v>
      </c>
      <c r="AI8" s="36">
        <v>0</v>
      </c>
      <c r="AJ8" s="36">
        <v>0</v>
      </c>
      <c r="AK8" s="36">
        <v>0</v>
      </c>
      <c r="AL8" s="36">
        <v>0</v>
      </c>
      <c r="AM8" s="36">
        <v>0</v>
      </c>
      <c r="AN8" s="36">
        <v>0</v>
      </c>
      <c r="AO8" s="36">
        <v>0</v>
      </c>
      <c r="AP8" s="36">
        <v>1</v>
      </c>
      <c r="AQ8" s="36">
        <v>0</v>
      </c>
      <c r="AR8" s="36">
        <v>0</v>
      </c>
      <c r="AS8" s="36">
        <v>0</v>
      </c>
      <c r="AT8" s="36">
        <v>0</v>
      </c>
      <c r="AU8" s="36">
        <v>0</v>
      </c>
      <c r="AV8" s="36">
        <v>0</v>
      </c>
      <c r="AW8" s="36">
        <v>0</v>
      </c>
      <c r="AX8" s="40">
        <f t="shared" si="1"/>
        <v>1</v>
      </c>
      <c r="AY8" s="36">
        <v>0</v>
      </c>
      <c r="AZ8" s="36">
        <v>0</v>
      </c>
      <c r="BA8" s="36">
        <v>0</v>
      </c>
      <c r="BB8" s="36">
        <f t="shared" si="6"/>
        <v>0</v>
      </c>
      <c r="BC8" s="36">
        <v>3</v>
      </c>
      <c r="BD8" s="36">
        <v>1</v>
      </c>
      <c r="BE8" s="36">
        <v>30</v>
      </c>
      <c r="BF8" s="36">
        <f t="shared" si="2"/>
        <v>1080</v>
      </c>
      <c r="BG8" s="36">
        <v>7</v>
      </c>
      <c r="BH8" s="36">
        <v>0</v>
      </c>
      <c r="BI8" s="36">
        <v>40</v>
      </c>
      <c r="BJ8" s="36">
        <f t="shared" si="3"/>
        <v>924</v>
      </c>
      <c r="BK8" s="36">
        <v>7</v>
      </c>
      <c r="BL8" s="36">
        <v>0</v>
      </c>
      <c r="BM8" s="36">
        <f t="shared" si="4"/>
        <v>2940</v>
      </c>
      <c r="BN8" s="33">
        <f t="shared" si="5"/>
        <v>2004</v>
      </c>
      <c r="BO8" s="33" t="s">
        <v>239</v>
      </c>
      <c r="BP8" s="35" t="s">
        <v>706</v>
      </c>
      <c r="HV8" s="2"/>
    </row>
    <row r="9" spans="1:232" s="36" customFormat="1" ht="42" customHeight="1">
      <c r="A9" s="36" t="s">
        <v>672</v>
      </c>
      <c r="B9" s="30" t="s">
        <v>239</v>
      </c>
      <c r="C9" s="36" t="s">
        <v>707</v>
      </c>
      <c r="D9" s="37" t="s">
        <v>239</v>
      </c>
      <c r="E9" s="36" t="s">
        <v>708</v>
      </c>
      <c r="F9" s="36">
        <v>32</v>
      </c>
      <c r="G9" s="36" t="s">
        <v>300</v>
      </c>
      <c r="H9" s="2" t="s">
        <v>709</v>
      </c>
      <c r="I9" s="36" t="s">
        <v>237</v>
      </c>
      <c r="J9" s="36" t="s">
        <v>237</v>
      </c>
      <c r="K9" s="36" t="s">
        <v>237</v>
      </c>
      <c r="L9" s="36" t="s">
        <v>239</v>
      </c>
      <c r="M9" s="36" t="s">
        <v>239</v>
      </c>
      <c r="N9" s="30" t="s">
        <v>710</v>
      </c>
      <c r="O9" s="52">
        <v>0.52083333333333337</v>
      </c>
      <c r="P9" s="28" t="s">
        <v>247</v>
      </c>
      <c r="Q9" s="28">
        <v>1413718</v>
      </c>
      <c r="R9" s="36">
        <v>45</v>
      </c>
      <c r="S9" s="2" t="s">
        <v>239</v>
      </c>
      <c r="T9" s="2"/>
      <c r="U9" s="36">
        <v>0</v>
      </c>
      <c r="V9" s="36">
        <v>1</v>
      </c>
      <c r="W9" s="36">
        <v>0</v>
      </c>
      <c r="X9" s="36">
        <v>0</v>
      </c>
      <c r="Y9" s="36">
        <v>0</v>
      </c>
      <c r="Z9" s="36">
        <v>0</v>
      </c>
      <c r="AA9" s="36">
        <v>0</v>
      </c>
      <c r="AB9" s="36">
        <v>0</v>
      </c>
      <c r="AC9" s="36">
        <v>0</v>
      </c>
      <c r="AD9" s="36">
        <v>0</v>
      </c>
      <c r="AE9" s="36">
        <v>0</v>
      </c>
      <c r="AF9" s="39">
        <f t="shared" si="0"/>
        <v>1</v>
      </c>
      <c r="AG9" s="36">
        <v>0</v>
      </c>
      <c r="AH9" s="36">
        <v>0</v>
      </c>
      <c r="AI9" s="36">
        <v>0</v>
      </c>
      <c r="AJ9" s="36">
        <v>0</v>
      </c>
      <c r="AK9" s="36">
        <v>1</v>
      </c>
      <c r="AL9" s="36">
        <v>1</v>
      </c>
      <c r="AM9" s="36">
        <v>0</v>
      </c>
      <c r="AN9" s="36">
        <v>0</v>
      </c>
      <c r="AO9" s="36">
        <v>0</v>
      </c>
      <c r="AP9" s="36">
        <v>0</v>
      </c>
      <c r="AQ9" s="36">
        <v>0</v>
      </c>
      <c r="AR9" s="36">
        <v>0</v>
      </c>
      <c r="AS9" s="36">
        <v>0</v>
      </c>
      <c r="AT9" s="36">
        <v>0</v>
      </c>
      <c r="AU9" s="36">
        <v>1</v>
      </c>
      <c r="AV9" s="36">
        <v>0</v>
      </c>
      <c r="AW9" s="36">
        <v>0</v>
      </c>
      <c r="AX9" s="40">
        <f t="shared" si="1"/>
        <v>3</v>
      </c>
      <c r="AY9" s="36">
        <v>2</v>
      </c>
      <c r="AZ9" s="36">
        <v>2</v>
      </c>
      <c r="BA9" s="36">
        <v>0</v>
      </c>
      <c r="BB9" s="36">
        <f t="shared" si="6"/>
        <v>1920</v>
      </c>
      <c r="BC9" s="36">
        <v>1</v>
      </c>
      <c r="BD9" s="36">
        <v>1</v>
      </c>
      <c r="BE9" s="36">
        <v>0</v>
      </c>
      <c r="BF9" s="36">
        <f t="shared" si="2"/>
        <v>240</v>
      </c>
      <c r="BG9" s="36">
        <v>6</v>
      </c>
      <c r="BH9" s="36">
        <v>1</v>
      </c>
      <c r="BI9" s="36">
        <v>0</v>
      </c>
      <c r="BJ9" s="36">
        <f t="shared" si="3"/>
        <v>1188</v>
      </c>
      <c r="BK9" s="36">
        <v>9</v>
      </c>
      <c r="BL9" s="36">
        <v>0</v>
      </c>
      <c r="BM9" s="36">
        <f t="shared" si="4"/>
        <v>3780</v>
      </c>
      <c r="BN9" s="33">
        <f t="shared" si="5"/>
        <v>3348</v>
      </c>
      <c r="BO9" s="33" t="s">
        <v>239</v>
      </c>
      <c r="BP9" s="34" t="s">
        <v>239</v>
      </c>
      <c r="HV9" s="2"/>
    </row>
    <row r="10" spans="1:232" s="36" customFormat="1" ht="42" customHeight="1">
      <c r="A10" s="36" t="s">
        <v>672</v>
      </c>
      <c r="B10" s="30" t="s">
        <v>239</v>
      </c>
      <c r="C10" s="36" t="s">
        <v>711</v>
      </c>
      <c r="D10" s="37" t="s">
        <v>239</v>
      </c>
      <c r="E10" s="36" t="s">
        <v>712</v>
      </c>
      <c r="F10" s="36">
        <v>32</v>
      </c>
      <c r="G10" s="36" t="s">
        <v>300</v>
      </c>
      <c r="H10" s="36" t="s">
        <v>237</v>
      </c>
      <c r="I10" s="36" t="s">
        <v>237</v>
      </c>
      <c r="J10" s="36" t="s">
        <v>237</v>
      </c>
      <c r="K10" s="36" t="s">
        <v>237</v>
      </c>
      <c r="L10" s="36" t="s">
        <v>239</v>
      </c>
      <c r="M10" s="36" t="s">
        <v>239</v>
      </c>
      <c r="N10" s="30" t="s">
        <v>710</v>
      </c>
      <c r="O10" s="52">
        <v>0.52083333333333337</v>
      </c>
      <c r="P10" s="28" t="s">
        <v>242</v>
      </c>
      <c r="Q10" s="28">
        <v>1413754</v>
      </c>
      <c r="R10" s="36">
        <v>42</v>
      </c>
      <c r="S10" s="2" t="s">
        <v>239</v>
      </c>
      <c r="T10" s="2"/>
      <c r="U10" s="36">
        <v>0</v>
      </c>
      <c r="V10" s="36">
        <v>0</v>
      </c>
      <c r="W10" s="36">
        <v>0</v>
      </c>
      <c r="X10" s="36">
        <v>0</v>
      </c>
      <c r="Y10" s="36">
        <v>0</v>
      </c>
      <c r="Z10" s="36">
        <v>0</v>
      </c>
      <c r="AA10" s="36">
        <v>0</v>
      </c>
      <c r="AB10" s="36">
        <v>0</v>
      </c>
      <c r="AC10" s="36">
        <v>0</v>
      </c>
      <c r="AD10" s="36">
        <v>0</v>
      </c>
      <c r="AE10" s="36">
        <v>0</v>
      </c>
      <c r="AF10" s="39">
        <f t="shared" si="0"/>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40">
        <v>0</v>
      </c>
      <c r="AY10" s="36">
        <v>1</v>
      </c>
      <c r="AZ10" s="36">
        <v>1</v>
      </c>
      <c r="BA10" s="36">
        <v>0</v>
      </c>
      <c r="BB10" s="36">
        <f t="shared" si="6"/>
        <v>480</v>
      </c>
      <c r="BC10" s="36">
        <v>0</v>
      </c>
      <c r="BD10" s="36">
        <v>0</v>
      </c>
      <c r="BE10" s="36">
        <v>0</v>
      </c>
      <c r="BF10" s="36">
        <f t="shared" si="2"/>
        <v>0</v>
      </c>
      <c r="BG10" s="36">
        <v>7</v>
      </c>
      <c r="BH10" s="36">
        <v>2</v>
      </c>
      <c r="BI10" s="36">
        <v>0</v>
      </c>
      <c r="BJ10" s="36">
        <f t="shared" si="3"/>
        <v>2772</v>
      </c>
      <c r="BK10" s="36">
        <v>6</v>
      </c>
      <c r="BL10" s="36">
        <v>0</v>
      </c>
      <c r="BM10" s="36">
        <f t="shared" si="4"/>
        <v>2520</v>
      </c>
      <c r="BN10" s="33">
        <f t="shared" si="5"/>
        <v>3252</v>
      </c>
      <c r="BO10" s="33" t="s">
        <v>239</v>
      </c>
      <c r="BP10" s="34" t="s">
        <v>239</v>
      </c>
      <c r="HV10" s="2"/>
    </row>
    <row r="11" spans="1:232" s="36" customFormat="1" ht="42" customHeight="1">
      <c r="A11" s="36" t="s">
        <v>672</v>
      </c>
      <c r="B11" s="30" t="s">
        <v>239</v>
      </c>
      <c r="C11" s="36" t="s">
        <v>713</v>
      </c>
      <c r="D11" s="37" t="s">
        <v>239</v>
      </c>
      <c r="E11" s="36" t="s">
        <v>714</v>
      </c>
      <c r="F11" s="36">
        <v>29</v>
      </c>
      <c r="G11" s="2" t="s">
        <v>235</v>
      </c>
      <c r="H11" s="2" t="s">
        <v>715</v>
      </c>
      <c r="I11" s="36" t="s">
        <v>237</v>
      </c>
      <c r="J11" s="36" t="s">
        <v>237</v>
      </c>
      <c r="K11" s="36" t="s">
        <v>237</v>
      </c>
      <c r="L11" s="36" t="s">
        <v>239</v>
      </c>
      <c r="M11" s="36" t="s">
        <v>239</v>
      </c>
      <c r="N11" s="30" t="s">
        <v>716</v>
      </c>
      <c r="O11" s="52">
        <v>0.58333333333333337</v>
      </c>
      <c r="P11" s="28" t="s">
        <v>247</v>
      </c>
      <c r="Q11" s="28">
        <v>1423063</v>
      </c>
      <c r="R11" s="36">
        <v>49</v>
      </c>
      <c r="S11" s="2" t="s">
        <v>239</v>
      </c>
      <c r="T11" s="2"/>
      <c r="U11" s="36">
        <v>0</v>
      </c>
      <c r="V11" s="36">
        <v>0</v>
      </c>
      <c r="W11" s="36">
        <v>1</v>
      </c>
      <c r="X11" s="36">
        <v>0</v>
      </c>
      <c r="Y11" s="36">
        <v>0</v>
      </c>
      <c r="Z11" s="36">
        <v>0</v>
      </c>
      <c r="AA11" s="36">
        <v>0</v>
      </c>
      <c r="AB11" s="36">
        <v>0</v>
      </c>
      <c r="AC11" s="36">
        <v>0</v>
      </c>
      <c r="AD11" s="36">
        <v>0</v>
      </c>
      <c r="AE11" s="36">
        <v>0</v>
      </c>
      <c r="AF11" s="39">
        <f t="shared" si="0"/>
        <v>1</v>
      </c>
      <c r="AG11" s="36">
        <v>0</v>
      </c>
      <c r="AH11" s="36">
        <v>0</v>
      </c>
      <c r="AI11" s="36">
        <v>0</v>
      </c>
      <c r="AJ11" s="36">
        <v>0</v>
      </c>
      <c r="AK11" s="36">
        <v>0</v>
      </c>
      <c r="AL11" s="36">
        <v>0</v>
      </c>
      <c r="AM11" s="36">
        <v>0</v>
      </c>
      <c r="AN11" s="36">
        <v>0</v>
      </c>
      <c r="AO11" s="36">
        <v>0</v>
      </c>
      <c r="AP11" s="36">
        <v>0</v>
      </c>
      <c r="AQ11" s="36">
        <v>0</v>
      </c>
      <c r="AR11" s="36">
        <v>0</v>
      </c>
      <c r="AS11" s="36">
        <v>0</v>
      </c>
      <c r="AT11" s="36">
        <v>0</v>
      </c>
      <c r="AU11" s="36">
        <v>0</v>
      </c>
      <c r="AV11" s="36">
        <v>0</v>
      </c>
      <c r="AW11" s="36">
        <v>0</v>
      </c>
      <c r="AX11" s="40">
        <f t="shared" ref="AX11:AX26" si="7">SUM(AG11:AW11)</f>
        <v>0</v>
      </c>
      <c r="AY11" s="36">
        <v>0</v>
      </c>
      <c r="AZ11" s="36">
        <v>0</v>
      </c>
      <c r="BA11" s="36">
        <v>0</v>
      </c>
      <c r="BB11" s="36">
        <f t="shared" si="6"/>
        <v>0</v>
      </c>
      <c r="BC11" s="36">
        <v>1</v>
      </c>
      <c r="BD11" s="36">
        <v>0</v>
      </c>
      <c r="BE11" s="36">
        <v>30</v>
      </c>
      <c r="BF11" s="36">
        <f t="shared" si="2"/>
        <v>120</v>
      </c>
      <c r="BG11" s="36">
        <v>7</v>
      </c>
      <c r="BH11" s="36">
        <v>2</v>
      </c>
      <c r="BI11" s="36">
        <v>0</v>
      </c>
      <c r="BJ11" s="36">
        <f t="shared" si="3"/>
        <v>2772</v>
      </c>
      <c r="BK11" s="36">
        <v>8</v>
      </c>
      <c r="BL11" s="36">
        <v>0</v>
      </c>
      <c r="BM11" s="36">
        <f t="shared" si="4"/>
        <v>3360</v>
      </c>
      <c r="BN11" s="33">
        <f t="shared" si="5"/>
        <v>2892</v>
      </c>
      <c r="BO11" s="33" t="s">
        <v>239</v>
      </c>
      <c r="BP11" s="35" t="s">
        <v>717</v>
      </c>
      <c r="HV11" s="2"/>
    </row>
    <row r="12" spans="1:232" s="36" customFormat="1" ht="42" customHeight="1">
      <c r="A12" s="36" t="s">
        <v>672</v>
      </c>
      <c r="B12" s="30" t="s">
        <v>239</v>
      </c>
      <c r="C12" s="36" t="s">
        <v>718</v>
      </c>
      <c r="D12" s="37" t="s">
        <v>239</v>
      </c>
      <c r="E12" s="36" t="s">
        <v>719</v>
      </c>
      <c r="F12" s="36">
        <v>34</v>
      </c>
      <c r="G12" s="36" t="s">
        <v>235</v>
      </c>
      <c r="H12" s="36" t="s">
        <v>237</v>
      </c>
      <c r="I12" s="36" t="s">
        <v>237</v>
      </c>
      <c r="J12" s="36" t="s">
        <v>237</v>
      </c>
      <c r="K12" s="36" t="s">
        <v>237</v>
      </c>
      <c r="L12" s="36" t="s">
        <v>239</v>
      </c>
      <c r="M12" s="36" t="s">
        <v>239</v>
      </c>
      <c r="N12" s="30" t="s">
        <v>720</v>
      </c>
      <c r="O12" s="52">
        <v>0.35416666666666669</v>
      </c>
      <c r="P12" s="28" t="s">
        <v>242</v>
      </c>
      <c r="Q12" s="28">
        <v>1423049</v>
      </c>
      <c r="R12" s="36">
        <v>47</v>
      </c>
      <c r="S12" s="2" t="s">
        <v>239</v>
      </c>
      <c r="T12" s="2"/>
      <c r="U12" s="36">
        <v>0</v>
      </c>
      <c r="V12" s="36">
        <v>0</v>
      </c>
      <c r="W12" s="36">
        <v>0</v>
      </c>
      <c r="X12" s="36">
        <v>0</v>
      </c>
      <c r="Y12" s="36">
        <v>0</v>
      </c>
      <c r="Z12" s="36">
        <v>0</v>
      </c>
      <c r="AA12" s="36">
        <v>0</v>
      </c>
      <c r="AB12" s="36">
        <v>0</v>
      </c>
      <c r="AC12" s="36">
        <v>0</v>
      </c>
      <c r="AD12" s="36">
        <v>0</v>
      </c>
      <c r="AE12" s="36">
        <v>0</v>
      </c>
      <c r="AF12" s="39">
        <f t="shared" si="0"/>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40">
        <f t="shared" si="7"/>
        <v>0</v>
      </c>
      <c r="AY12" s="36">
        <v>1</v>
      </c>
      <c r="AZ12" s="36">
        <v>1</v>
      </c>
      <c r="BA12" s="36">
        <v>0</v>
      </c>
      <c r="BB12" s="36">
        <f t="shared" si="6"/>
        <v>480</v>
      </c>
      <c r="BC12" s="36">
        <v>0</v>
      </c>
      <c r="BD12" s="36">
        <v>0</v>
      </c>
      <c r="BE12" s="36">
        <v>0</v>
      </c>
      <c r="BF12" s="36">
        <f t="shared" si="2"/>
        <v>0</v>
      </c>
      <c r="BG12" s="36">
        <v>2</v>
      </c>
      <c r="BH12" s="36">
        <v>1</v>
      </c>
      <c r="BI12" s="36">
        <v>0</v>
      </c>
      <c r="BJ12" s="36">
        <f t="shared" si="3"/>
        <v>396</v>
      </c>
      <c r="BK12" s="36">
        <v>9</v>
      </c>
      <c r="BL12" s="36">
        <v>0</v>
      </c>
      <c r="BM12" s="36">
        <f t="shared" si="4"/>
        <v>3780</v>
      </c>
      <c r="BN12" s="33">
        <f t="shared" si="5"/>
        <v>876</v>
      </c>
      <c r="BO12" s="33" t="s">
        <v>239</v>
      </c>
      <c r="BP12" s="34" t="s">
        <v>239</v>
      </c>
      <c r="HV12" s="2"/>
    </row>
    <row r="13" spans="1:232" s="36" customFormat="1" ht="42" customHeight="1">
      <c r="A13" s="36" t="s">
        <v>672</v>
      </c>
      <c r="B13" s="30" t="s">
        <v>239</v>
      </c>
      <c r="C13" s="36" t="s">
        <v>721</v>
      </c>
      <c r="D13" s="37" t="s">
        <v>239</v>
      </c>
      <c r="E13" s="36" t="s">
        <v>722</v>
      </c>
      <c r="F13" s="36">
        <v>33</v>
      </c>
      <c r="G13" s="36" t="s">
        <v>466</v>
      </c>
      <c r="H13" s="36" t="s">
        <v>723</v>
      </c>
      <c r="I13" s="36" t="s">
        <v>237</v>
      </c>
      <c r="J13" s="36" t="s">
        <v>237</v>
      </c>
      <c r="K13" s="36" t="s">
        <v>237</v>
      </c>
      <c r="L13" s="36" t="s">
        <v>239</v>
      </c>
      <c r="M13" s="36" t="s">
        <v>239</v>
      </c>
      <c r="N13" s="30" t="s">
        <v>724</v>
      </c>
      <c r="O13" s="52">
        <v>0.58333333333333337</v>
      </c>
      <c r="P13" s="28" t="s">
        <v>242</v>
      </c>
      <c r="Q13" s="28">
        <v>1424331</v>
      </c>
      <c r="R13" s="36">
        <v>47</v>
      </c>
      <c r="S13" s="2" t="s">
        <v>725</v>
      </c>
      <c r="T13" s="2"/>
      <c r="U13" s="36">
        <v>0</v>
      </c>
      <c r="V13" s="36">
        <v>0</v>
      </c>
      <c r="W13" s="36">
        <v>0</v>
      </c>
      <c r="X13" s="36">
        <v>0</v>
      </c>
      <c r="Y13" s="36">
        <v>0</v>
      </c>
      <c r="Z13" s="36">
        <v>0</v>
      </c>
      <c r="AA13" s="36">
        <v>0</v>
      </c>
      <c r="AB13" s="36">
        <v>0</v>
      </c>
      <c r="AC13" s="36">
        <v>0</v>
      </c>
      <c r="AD13" s="36">
        <v>0</v>
      </c>
      <c r="AE13" s="36">
        <v>0</v>
      </c>
      <c r="AF13" s="39">
        <f t="shared" si="0"/>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40">
        <f t="shared" si="7"/>
        <v>0</v>
      </c>
      <c r="AY13" s="36">
        <v>1</v>
      </c>
      <c r="AZ13" s="36">
        <v>0</v>
      </c>
      <c r="BA13" s="36">
        <v>45</v>
      </c>
      <c r="BB13" s="36">
        <f t="shared" si="6"/>
        <v>360</v>
      </c>
      <c r="BC13" s="36">
        <v>2</v>
      </c>
      <c r="BD13" s="36">
        <v>0</v>
      </c>
      <c r="BE13" s="36">
        <v>40</v>
      </c>
      <c r="BF13" s="36">
        <f t="shared" si="2"/>
        <v>320</v>
      </c>
      <c r="BG13" s="36">
        <v>7</v>
      </c>
      <c r="BH13" s="36">
        <v>0</v>
      </c>
      <c r="BI13" s="36">
        <v>45</v>
      </c>
      <c r="BJ13" s="36">
        <f t="shared" si="3"/>
        <v>1039.5</v>
      </c>
      <c r="BK13" s="36">
        <v>9</v>
      </c>
      <c r="BL13" s="36">
        <v>0</v>
      </c>
      <c r="BM13" s="36">
        <f t="shared" si="4"/>
        <v>3780</v>
      </c>
      <c r="BN13" s="33">
        <f t="shared" si="5"/>
        <v>1719.5</v>
      </c>
      <c r="BO13" s="33" t="s">
        <v>239</v>
      </c>
      <c r="BP13" s="35" t="s">
        <v>726</v>
      </c>
      <c r="HV13" s="2"/>
    </row>
    <row r="14" spans="1:232" s="36" customFormat="1" ht="42" customHeight="1">
      <c r="A14" s="36" t="s">
        <v>672</v>
      </c>
      <c r="B14" s="30" t="s">
        <v>239</v>
      </c>
      <c r="C14" s="36" t="s">
        <v>727</v>
      </c>
      <c r="D14" s="37" t="s">
        <v>239</v>
      </c>
      <c r="E14" s="36" t="s">
        <v>728</v>
      </c>
      <c r="F14" s="36">
        <v>27</v>
      </c>
      <c r="G14" s="36" t="s">
        <v>466</v>
      </c>
      <c r="H14" s="36" t="s">
        <v>237</v>
      </c>
      <c r="I14" s="36" t="s">
        <v>237</v>
      </c>
      <c r="J14" s="36" t="s">
        <v>237</v>
      </c>
      <c r="K14" s="36" t="s">
        <v>237</v>
      </c>
      <c r="L14" s="36" t="s">
        <v>239</v>
      </c>
      <c r="M14" s="36" t="s">
        <v>239</v>
      </c>
      <c r="N14" s="30" t="s">
        <v>724</v>
      </c>
      <c r="O14" s="52">
        <v>0.625</v>
      </c>
      <c r="P14" s="54" t="s">
        <v>247</v>
      </c>
      <c r="Q14" s="36">
        <v>1424563</v>
      </c>
      <c r="R14" s="36">
        <v>46</v>
      </c>
      <c r="S14" s="2" t="s">
        <v>239</v>
      </c>
      <c r="T14" s="2"/>
      <c r="U14" s="36">
        <v>0</v>
      </c>
      <c r="V14" s="36">
        <v>0</v>
      </c>
      <c r="W14" s="36">
        <v>0</v>
      </c>
      <c r="X14" s="36">
        <v>0</v>
      </c>
      <c r="Y14" s="36">
        <v>2</v>
      </c>
      <c r="Z14" s="36">
        <v>0</v>
      </c>
      <c r="AA14" s="36">
        <v>0</v>
      </c>
      <c r="AB14" s="36">
        <v>0</v>
      </c>
      <c r="AC14" s="36">
        <v>0</v>
      </c>
      <c r="AD14" s="36">
        <v>0</v>
      </c>
      <c r="AE14" s="36">
        <v>0</v>
      </c>
      <c r="AF14" s="39">
        <f t="shared" si="0"/>
        <v>2</v>
      </c>
      <c r="AG14" s="36">
        <v>2</v>
      </c>
      <c r="AH14" s="36">
        <v>0</v>
      </c>
      <c r="AI14" s="36">
        <v>0</v>
      </c>
      <c r="AJ14" s="36">
        <v>0</v>
      </c>
      <c r="AK14" s="36">
        <v>0</v>
      </c>
      <c r="AL14" s="36">
        <v>0</v>
      </c>
      <c r="AM14" s="36">
        <v>0</v>
      </c>
      <c r="AN14" s="36">
        <v>0</v>
      </c>
      <c r="AO14" s="36">
        <v>0</v>
      </c>
      <c r="AP14" s="36">
        <v>1</v>
      </c>
      <c r="AQ14" s="36">
        <v>0</v>
      </c>
      <c r="AR14" s="36">
        <v>0</v>
      </c>
      <c r="AS14" s="36">
        <v>1</v>
      </c>
      <c r="AT14" s="36">
        <v>0</v>
      </c>
      <c r="AU14" s="36">
        <v>0</v>
      </c>
      <c r="AV14" s="36">
        <v>0</v>
      </c>
      <c r="AW14" s="36">
        <v>0</v>
      </c>
      <c r="AX14" s="40">
        <f t="shared" si="7"/>
        <v>4</v>
      </c>
      <c r="AY14" s="36">
        <v>0</v>
      </c>
      <c r="AZ14" s="36">
        <v>0</v>
      </c>
      <c r="BA14" s="36">
        <v>0</v>
      </c>
      <c r="BB14" s="36">
        <f t="shared" si="6"/>
        <v>0</v>
      </c>
      <c r="BC14" s="36">
        <v>0</v>
      </c>
      <c r="BD14" s="36">
        <v>0</v>
      </c>
      <c r="BE14" s="36">
        <v>0</v>
      </c>
      <c r="BF14" s="36">
        <f t="shared" si="2"/>
        <v>0</v>
      </c>
      <c r="BG14" s="36">
        <v>7</v>
      </c>
      <c r="BH14" s="36">
        <v>0</v>
      </c>
      <c r="BI14" s="36">
        <v>30</v>
      </c>
      <c r="BJ14" s="36">
        <f t="shared" si="3"/>
        <v>693</v>
      </c>
      <c r="BK14" s="36">
        <v>8</v>
      </c>
      <c r="BL14" s="36">
        <v>0</v>
      </c>
      <c r="BM14" s="36">
        <f t="shared" si="4"/>
        <v>3360</v>
      </c>
      <c r="BN14" s="33">
        <f t="shared" si="5"/>
        <v>693</v>
      </c>
      <c r="BO14" s="33" t="s">
        <v>239</v>
      </c>
      <c r="BP14" s="34" t="s">
        <v>239</v>
      </c>
      <c r="HV14" s="2"/>
    </row>
    <row r="15" spans="1:232" s="36" customFormat="1" ht="42" customHeight="1">
      <c r="A15" s="36" t="s">
        <v>672</v>
      </c>
      <c r="B15" s="30" t="s">
        <v>239</v>
      </c>
      <c r="C15" s="36" t="s">
        <v>729</v>
      </c>
      <c r="D15" s="37" t="s">
        <v>239</v>
      </c>
      <c r="E15" s="36" t="s">
        <v>730</v>
      </c>
      <c r="F15" s="36">
        <v>32</v>
      </c>
      <c r="G15" s="36" t="s">
        <v>300</v>
      </c>
      <c r="H15" s="36" t="s">
        <v>237</v>
      </c>
      <c r="I15" s="36" t="s">
        <v>237</v>
      </c>
      <c r="J15" s="36" t="s">
        <v>237</v>
      </c>
      <c r="K15" s="36" t="s">
        <v>237</v>
      </c>
      <c r="L15" s="36" t="s">
        <v>239</v>
      </c>
      <c r="M15" s="36" t="s">
        <v>239</v>
      </c>
      <c r="N15" s="30" t="s">
        <v>449</v>
      </c>
      <c r="O15" s="52">
        <v>0.54166666666666663</v>
      </c>
      <c r="P15" s="36" t="s">
        <v>242</v>
      </c>
      <c r="Q15" s="36">
        <v>1425504</v>
      </c>
      <c r="R15" s="36">
        <v>46</v>
      </c>
      <c r="S15" s="2" t="s">
        <v>239</v>
      </c>
      <c r="T15" s="2"/>
      <c r="U15" s="36">
        <v>0</v>
      </c>
      <c r="V15" s="36">
        <v>0</v>
      </c>
      <c r="W15" s="36">
        <v>0</v>
      </c>
      <c r="X15" s="36">
        <v>0</v>
      </c>
      <c r="Y15" s="36">
        <v>0</v>
      </c>
      <c r="Z15" s="36">
        <v>0</v>
      </c>
      <c r="AA15" s="36">
        <v>0</v>
      </c>
      <c r="AB15" s="36">
        <v>0</v>
      </c>
      <c r="AC15" s="36">
        <v>0</v>
      </c>
      <c r="AD15" s="36">
        <v>0</v>
      </c>
      <c r="AE15" s="36">
        <v>0</v>
      </c>
      <c r="AF15" s="39">
        <f t="shared" si="0"/>
        <v>0</v>
      </c>
      <c r="AG15" s="36">
        <v>0</v>
      </c>
      <c r="AH15" s="36">
        <v>0</v>
      </c>
      <c r="AI15" s="36">
        <v>0</v>
      </c>
      <c r="AJ15" s="36">
        <v>0</v>
      </c>
      <c r="AK15" s="36">
        <v>0</v>
      </c>
      <c r="AL15" s="36">
        <v>0</v>
      </c>
      <c r="AM15" s="36">
        <v>0</v>
      </c>
      <c r="AN15" s="36">
        <v>0</v>
      </c>
      <c r="AO15" s="36">
        <v>0</v>
      </c>
      <c r="AP15" s="36">
        <v>2</v>
      </c>
      <c r="AQ15" s="36">
        <v>0</v>
      </c>
      <c r="AR15" s="36">
        <v>0</v>
      </c>
      <c r="AS15" s="36">
        <v>0</v>
      </c>
      <c r="AT15" s="36">
        <v>0</v>
      </c>
      <c r="AU15" s="36">
        <v>0</v>
      </c>
      <c r="AV15" s="36">
        <v>0</v>
      </c>
      <c r="AW15" s="36">
        <v>0</v>
      </c>
      <c r="AX15" s="40">
        <f t="shared" si="7"/>
        <v>2</v>
      </c>
      <c r="AY15" s="36">
        <v>0</v>
      </c>
      <c r="AZ15" s="36">
        <v>0</v>
      </c>
      <c r="BA15" s="36">
        <v>0</v>
      </c>
      <c r="BB15" s="36">
        <f t="shared" si="6"/>
        <v>0</v>
      </c>
      <c r="BC15" s="36">
        <v>0</v>
      </c>
      <c r="BD15" s="36">
        <v>0</v>
      </c>
      <c r="BE15" s="36">
        <v>0</v>
      </c>
      <c r="BF15" s="36">
        <f t="shared" si="2"/>
        <v>0</v>
      </c>
      <c r="BG15" s="36">
        <v>7</v>
      </c>
      <c r="BH15" s="36">
        <v>1</v>
      </c>
      <c r="BI15" s="36">
        <v>15</v>
      </c>
      <c r="BJ15" s="36">
        <f t="shared" si="3"/>
        <v>1732.5</v>
      </c>
      <c r="BK15" s="36">
        <v>9</v>
      </c>
      <c r="BL15" s="36">
        <v>0</v>
      </c>
      <c r="BM15" s="36">
        <f t="shared" si="4"/>
        <v>3780</v>
      </c>
      <c r="BN15" s="33">
        <f t="shared" si="5"/>
        <v>1732.5</v>
      </c>
      <c r="BO15" s="33" t="s">
        <v>239</v>
      </c>
      <c r="BP15" s="34" t="s">
        <v>239</v>
      </c>
      <c r="HV15" s="2"/>
    </row>
    <row r="16" spans="1:232" s="6" customFormat="1" ht="42" customHeight="1">
      <c r="A16" s="6" t="s">
        <v>672</v>
      </c>
      <c r="B16" s="7" t="s">
        <v>239</v>
      </c>
      <c r="C16" s="6" t="s">
        <v>731</v>
      </c>
      <c r="D16" s="65" t="s">
        <v>239</v>
      </c>
      <c r="E16" s="6" t="s">
        <v>732</v>
      </c>
      <c r="F16" s="6">
        <v>78</v>
      </c>
      <c r="G16" s="6" t="s">
        <v>466</v>
      </c>
      <c r="H16" s="4" t="s">
        <v>733</v>
      </c>
      <c r="I16" s="6" t="s">
        <v>343</v>
      </c>
      <c r="J16" s="6" t="s">
        <v>237</v>
      </c>
      <c r="K16" s="6" t="s">
        <v>237</v>
      </c>
      <c r="L16" s="6" t="s">
        <v>239</v>
      </c>
      <c r="M16" s="6" t="s">
        <v>239</v>
      </c>
      <c r="N16" s="7" t="s">
        <v>616</v>
      </c>
      <c r="O16" s="27">
        <v>0.5</v>
      </c>
      <c r="P16" s="36" t="s">
        <v>524</v>
      </c>
      <c r="Q16" s="36">
        <v>1450018</v>
      </c>
      <c r="R16" s="6">
        <v>58</v>
      </c>
      <c r="S16" s="4" t="s">
        <v>734</v>
      </c>
      <c r="T16" s="4"/>
      <c r="U16" s="6">
        <v>0</v>
      </c>
      <c r="V16" s="6">
        <v>0</v>
      </c>
      <c r="W16" s="6">
        <v>0</v>
      </c>
      <c r="X16" s="6">
        <v>0</v>
      </c>
      <c r="Y16" s="6">
        <v>0</v>
      </c>
      <c r="Z16" s="6">
        <v>0</v>
      </c>
      <c r="AA16" s="6">
        <v>0</v>
      </c>
      <c r="AB16" s="6">
        <v>0</v>
      </c>
      <c r="AC16" s="6">
        <v>0</v>
      </c>
      <c r="AD16" s="6">
        <v>0</v>
      </c>
      <c r="AE16" s="6">
        <v>0</v>
      </c>
      <c r="AF16" s="39">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40">
        <f t="shared" si="7"/>
        <v>0</v>
      </c>
      <c r="AY16" s="6">
        <v>0</v>
      </c>
      <c r="AZ16" s="6">
        <v>0</v>
      </c>
      <c r="BA16" s="6">
        <v>0</v>
      </c>
      <c r="BB16" s="36">
        <f t="shared" si="6"/>
        <v>0</v>
      </c>
      <c r="BC16" s="6">
        <v>0</v>
      </c>
      <c r="BD16" s="6">
        <v>0</v>
      </c>
      <c r="BE16" s="6">
        <v>0</v>
      </c>
      <c r="BF16" s="36">
        <f t="shared" si="2"/>
        <v>0</v>
      </c>
      <c r="BG16" s="6">
        <v>7</v>
      </c>
      <c r="BH16" s="6">
        <v>1</v>
      </c>
      <c r="BI16" s="6">
        <v>0</v>
      </c>
      <c r="BJ16" s="36">
        <f t="shared" si="3"/>
        <v>1386</v>
      </c>
      <c r="BK16" s="6">
        <v>5</v>
      </c>
      <c r="BL16" s="6">
        <v>0</v>
      </c>
      <c r="BM16" s="36">
        <f t="shared" si="4"/>
        <v>2100</v>
      </c>
      <c r="BN16" s="33">
        <f t="shared" si="5"/>
        <v>1386</v>
      </c>
      <c r="BO16" s="14" t="s">
        <v>239</v>
      </c>
      <c r="BP16" s="18" t="s">
        <v>735</v>
      </c>
      <c r="CZ16" s="36"/>
      <c r="DO16" s="36"/>
      <c r="DP16" s="36"/>
      <c r="HV16" s="4"/>
    </row>
    <row r="17" spans="1:232" s="6" customFormat="1" ht="42" customHeight="1">
      <c r="A17" s="6" t="s">
        <v>672</v>
      </c>
      <c r="B17" s="7" t="s">
        <v>239</v>
      </c>
      <c r="C17" s="6" t="s">
        <v>736</v>
      </c>
      <c r="D17" s="65" t="s">
        <v>239</v>
      </c>
      <c r="E17" s="6" t="s">
        <v>737</v>
      </c>
      <c r="F17" s="6">
        <v>73</v>
      </c>
      <c r="G17" s="6" t="s">
        <v>466</v>
      </c>
      <c r="H17" s="4" t="s">
        <v>738</v>
      </c>
      <c r="I17" s="6" t="s">
        <v>343</v>
      </c>
      <c r="J17" s="6" t="s">
        <v>237</v>
      </c>
      <c r="K17" s="6" t="s">
        <v>237</v>
      </c>
      <c r="L17" s="6" t="s">
        <v>239</v>
      </c>
      <c r="M17" s="6" t="s">
        <v>239</v>
      </c>
      <c r="N17" s="7" t="s">
        <v>616</v>
      </c>
      <c r="O17" s="27">
        <v>0.5083333333333333</v>
      </c>
      <c r="P17" s="36" t="s">
        <v>739</v>
      </c>
      <c r="Q17" s="36">
        <v>1450034</v>
      </c>
      <c r="R17" s="6">
        <v>57</v>
      </c>
      <c r="S17" s="4" t="s">
        <v>740</v>
      </c>
      <c r="U17" s="6">
        <v>0</v>
      </c>
      <c r="V17" s="6">
        <v>0</v>
      </c>
      <c r="W17" s="6">
        <v>0</v>
      </c>
      <c r="X17" s="6">
        <v>0</v>
      </c>
      <c r="Y17" s="6">
        <v>0</v>
      </c>
      <c r="Z17" s="6">
        <v>0</v>
      </c>
      <c r="AA17" s="6">
        <v>0</v>
      </c>
      <c r="AB17" s="6">
        <v>0</v>
      </c>
      <c r="AC17" s="6">
        <v>0</v>
      </c>
      <c r="AD17" s="6">
        <v>0</v>
      </c>
      <c r="AE17" s="6">
        <v>0</v>
      </c>
      <c r="AF17" s="39">
        <f t="shared" ref="AF17:AF27" si="8">SUM(U17:AE17)</f>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40">
        <f t="shared" si="7"/>
        <v>0</v>
      </c>
      <c r="AY17" s="6">
        <v>0</v>
      </c>
      <c r="AZ17" s="6">
        <v>0</v>
      </c>
      <c r="BA17" s="6">
        <v>0</v>
      </c>
      <c r="BB17" s="36">
        <f t="shared" si="6"/>
        <v>0</v>
      </c>
      <c r="BC17" s="6">
        <v>0</v>
      </c>
      <c r="BD17" s="6">
        <v>0</v>
      </c>
      <c r="BE17" s="6">
        <v>0</v>
      </c>
      <c r="BF17" s="36">
        <f t="shared" si="2"/>
        <v>0</v>
      </c>
      <c r="BG17" s="6">
        <v>7</v>
      </c>
      <c r="BH17" s="6">
        <v>1</v>
      </c>
      <c r="BI17" s="6">
        <v>0</v>
      </c>
      <c r="BJ17" s="36">
        <f t="shared" si="3"/>
        <v>1386</v>
      </c>
      <c r="BK17" s="6">
        <v>5</v>
      </c>
      <c r="BL17" s="6">
        <v>0</v>
      </c>
      <c r="BM17" s="36">
        <f t="shared" si="4"/>
        <v>2100</v>
      </c>
      <c r="BN17" s="33">
        <f t="shared" si="5"/>
        <v>1386</v>
      </c>
      <c r="BO17" s="14" t="s">
        <v>239</v>
      </c>
      <c r="BP17" s="17" t="s">
        <v>239</v>
      </c>
      <c r="CZ17" s="36"/>
      <c r="DO17" s="36"/>
      <c r="DP17" s="36"/>
      <c r="HV17" s="4"/>
    </row>
    <row r="18" spans="1:232" s="6" customFormat="1" ht="42" customHeight="1">
      <c r="A18" s="6" t="s">
        <v>672</v>
      </c>
      <c r="B18" s="7" t="s">
        <v>239</v>
      </c>
      <c r="C18" s="6" t="s">
        <v>741</v>
      </c>
      <c r="D18" s="65" t="s">
        <v>239</v>
      </c>
      <c r="E18" s="6" t="s">
        <v>742</v>
      </c>
      <c r="F18" s="6">
        <v>28</v>
      </c>
      <c r="G18" s="6" t="s">
        <v>235</v>
      </c>
      <c r="H18" s="6" t="s">
        <v>343</v>
      </c>
      <c r="I18" s="6" t="s">
        <v>343</v>
      </c>
      <c r="J18" s="6" t="s">
        <v>237</v>
      </c>
      <c r="K18" s="6" t="s">
        <v>237</v>
      </c>
      <c r="L18" s="6" t="s">
        <v>239</v>
      </c>
      <c r="M18" s="6" t="s">
        <v>239</v>
      </c>
      <c r="N18" s="7" t="s">
        <v>521</v>
      </c>
      <c r="O18" s="27">
        <v>0.47916666666666669</v>
      </c>
      <c r="P18" s="36" t="s">
        <v>743</v>
      </c>
      <c r="Q18" s="36">
        <v>1450144</v>
      </c>
      <c r="R18" s="6">
        <v>48</v>
      </c>
      <c r="S18" s="6" t="s">
        <v>239</v>
      </c>
      <c r="U18" s="6">
        <v>0</v>
      </c>
      <c r="V18" s="6">
        <v>0</v>
      </c>
      <c r="W18" s="6">
        <v>0</v>
      </c>
      <c r="X18" s="6">
        <v>0</v>
      </c>
      <c r="Y18" s="6">
        <v>0</v>
      </c>
      <c r="Z18" s="6">
        <v>0</v>
      </c>
      <c r="AA18" s="6">
        <v>0</v>
      </c>
      <c r="AB18" s="6">
        <v>0</v>
      </c>
      <c r="AC18" s="6">
        <v>0</v>
      </c>
      <c r="AD18" s="6">
        <v>0</v>
      </c>
      <c r="AE18" s="6">
        <v>0</v>
      </c>
      <c r="AF18" s="39">
        <f t="shared" si="8"/>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40">
        <f t="shared" si="7"/>
        <v>0</v>
      </c>
      <c r="AY18" s="6">
        <v>4</v>
      </c>
      <c r="AZ18" s="6">
        <v>1</v>
      </c>
      <c r="BA18" s="6">
        <v>30</v>
      </c>
      <c r="BB18" s="36">
        <f t="shared" si="6"/>
        <v>2880</v>
      </c>
      <c r="BC18" s="6">
        <v>4</v>
      </c>
      <c r="BD18" s="6">
        <v>1</v>
      </c>
      <c r="BE18" s="6">
        <v>30</v>
      </c>
      <c r="BF18" s="36">
        <f t="shared" si="2"/>
        <v>1440</v>
      </c>
      <c r="BG18" s="6">
        <v>3</v>
      </c>
      <c r="BH18" s="6">
        <v>0</v>
      </c>
      <c r="BI18" s="6">
        <v>30</v>
      </c>
      <c r="BJ18" s="36">
        <f t="shared" si="3"/>
        <v>297</v>
      </c>
      <c r="BK18" s="6">
        <v>5</v>
      </c>
      <c r="BL18" s="6">
        <v>0</v>
      </c>
      <c r="BM18" s="36">
        <f t="shared" si="4"/>
        <v>2100</v>
      </c>
      <c r="BN18" s="33">
        <f t="shared" si="5"/>
        <v>4617</v>
      </c>
      <c r="BO18" s="15" t="s">
        <v>744</v>
      </c>
      <c r="BP18" s="18" t="s">
        <v>745</v>
      </c>
      <c r="DO18" s="36"/>
      <c r="DP18" s="36"/>
      <c r="HV18" s="4"/>
    </row>
    <row r="19" spans="1:232" s="6" customFormat="1" ht="42" customHeight="1">
      <c r="A19" s="6" t="s">
        <v>672</v>
      </c>
      <c r="B19" s="7" t="s">
        <v>239</v>
      </c>
      <c r="C19" s="6" t="s">
        <v>746</v>
      </c>
      <c r="D19" s="65" t="s">
        <v>239</v>
      </c>
      <c r="E19" s="6" t="s">
        <v>689</v>
      </c>
      <c r="F19" s="6">
        <v>30</v>
      </c>
      <c r="G19" s="6" t="s">
        <v>235</v>
      </c>
      <c r="H19" s="6" t="s">
        <v>237</v>
      </c>
      <c r="I19" s="6" t="s">
        <v>343</v>
      </c>
      <c r="J19" s="6" t="s">
        <v>237</v>
      </c>
      <c r="K19" s="6" t="s">
        <v>237</v>
      </c>
      <c r="L19" s="6" t="s">
        <v>239</v>
      </c>
      <c r="M19" s="6" t="s">
        <v>239</v>
      </c>
      <c r="N19" s="7" t="s">
        <v>747</v>
      </c>
      <c r="O19" s="27">
        <v>0.70833333333333337</v>
      </c>
      <c r="P19" s="36" t="s">
        <v>748</v>
      </c>
      <c r="Q19" s="36">
        <v>1448546</v>
      </c>
      <c r="R19" s="6">
        <v>42</v>
      </c>
      <c r="S19" s="6" t="s">
        <v>239</v>
      </c>
      <c r="U19" s="6">
        <v>0</v>
      </c>
      <c r="V19" s="6">
        <v>0</v>
      </c>
      <c r="W19" s="6">
        <v>0</v>
      </c>
      <c r="X19" s="6">
        <v>0</v>
      </c>
      <c r="Y19" s="6">
        <v>0</v>
      </c>
      <c r="Z19" s="6">
        <v>0</v>
      </c>
      <c r="AA19" s="6">
        <v>0</v>
      </c>
      <c r="AB19" s="6">
        <v>0</v>
      </c>
      <c r="AC19" s="6">
        <v>0</v>
      </c>
      <c r="AD19" s="6">
        <v>0</v>
      </c>
      <c r="AE19" s="6">
        <v>0</v>
      </c>
      <c r="AF19" s="39">
        <f t="shared" si="8"/>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40">
        <f t="shared" si="7"/>
        <v>0</v>
      </c>
      <c r="AY19" s="6">
        <v>2</v>
      </c>
      <c r="AZ19" s="6">
        <v>0</v>
      </c>
      <c r="BA19" s="6">
        <v>10</v>
      </c>
      <c r="BB19" s="36">
        <f t="shared" si="6"/>
        <v>160</v>
      </c>
      <c r="BC19" s="6">
        <v>2</v>
      </c>
      <c r="BD19" s="6">
        <v>1</v>
      </c>
      <c r="BE19" s="6">
        <v>0</v>
      </c>
      <c r="BF19" s="36">
        <f t="shared" si="2"/>
        <v>480</v>
      </c>
      <c r="BG19" s="6">
        <v>7</v>
      </c>
      <c r="BH19" s="6">
        <v>0</v>
      </c>
      <c r="BI19" s="6">
        <v>30</v>
      </c>
      <c r="BJ19" s="36">
        <f t="shared" si="3"/>
        <v>693</v>
      </c>
      <c r="BK19" s="6">
        <v>9</v>
      </c>
      <c r="BL19" s="6">
        <v>0</v>
      </c>
      <c r="BM19" s="36">
        <f t="shared" si="4"/>
        <v>3780</v>
      </c>
      <c r="BN19" s="33">
        <f t="shared" si="5"/>
        <v>1333</v>
      </c>
      <c r="BO19" s="15" t="s">
        <v>749</v>
      </c>
      <c r="BP19" s="18" t="s">
        <v>750</v>
      </c>
      <c r="DO19" s="36"/>
      <c r="DP19" s="36"/>
      <c r="HV19" s="4"/>
    </row>
    <row r="20" spans="1:232" s="6" customFormat="1" ht="42" customHeight="1">
      <c r="A20" s="6" t="s">
        <v>672</v>
      </c>
      <c r="B20" s="7" t="s">
        <v>239</v>
      </c>
      <c r="C20" s="6" t="s">
        <v>751</v>
      </c>
      <c r="D20" s="65" t="s">
        <v>239</v>
      </c>
      <c r="E20" s="6" t="s">
        <v>752</v>
      </c>
      <c r="F20" s="6">
        <v>61</v>
      </c>
      <c r="G20" s="6" t="s">
        <v>466</v>
      </c>
      <c r="H20" s="6" t="s">
        <v>343</v>
      </c>
      <c r="I20" s="6" t="s">
        <v>343</v>
      </c>
      <c r="J20" s="6" t="s">
        <v>237</v>
      </c>
      <c r="K20" s="6" t="s">
        <v>753</v>
      </c>
      <c r="L20" s="6" t="s">
        <v>239</v>
      </c>
      <c r="M20" s="6" t="s">
        <v>239</v>
      </c>
      <c r="N20" s="7" t="s">
        <v>616</v>
      </c>
      <c r="O20" s="27">
        <v>0.4375</v>
      </c>
      <c r="P20" s="6" t="s">
        <v>328</v>
      </c>
      <c r="Q20" s="36">
        <v>1450762</v>
      </c>
      <c r="R20" s="6">
        <v>55</v>
      </c>
      <c r="S20" s="6" t="s">
        <v>239</v>
      </c>
      <c r="U20" s="6">
        <v>0</v>
      </c>
      <c r="V20" s="6">
        <v>0</v>
      </c>
      <c r="W20" s="6">
        <v>0</v>
      </c>
      <c r="X20" s="6">
        <v>0</v>
      </c>
      <c r="Y20" s="6">
        <v>0</v>
      </c>
      <c r="Z20" s="6">
        <v>0</v>
      </c>
      <c r="AA20" s="6">
        <v>0</v>
      </c>
      <c r="AB20" s="6">
        <v>0</v>
      </c>
      <c r="AC20" s="6">
        <v>0</v>
      </c>
      <c r="AD20" s="6">
        <v>0</v>
      </c>
      <c r="AE20" s="6">
        <v>0</v>
      </c>
      <c r="AF20" s="39">
        <f t="shared" si="8"/>
        <v>0</v>
      </c>
      <c r="AG20" s="6">
        <v>0</v>
      </c>
      <c r="AH20" s="6">
        <v>0</v>
      </c>
      <c r="AI20" s="6">
        <v>0</v>
      </c>
      <c r="AJ20" s="6">
        <v>0</v>
      </c>
      <c r="AK20" s="6">
        <v>0</v>
      </c>
      <c r="AL20" s="6">
        <v>0</v>
      </c>
      <c r="AM20" s="6">
        <v>0</v>
      </c>
      <c r="AN20" s="6">
        <v>0</v>
      </c>
      <c r="AO20" s="6">
        <v>0</v>
      </c>
      <c r="AP20" s="6">
        <v>0</v>
      </c>
      <c r="AQ20" s="6">
        <v>0</v>
      </c>
      <c r="AR20" s="6">
        <v>0</v>
      </c>
      <c r="AS20" s="6">
        <v>0</v>
      </c>
      <c r="AT20" s="6">
        <v>0</v>
      </c>
      <c r="AU20" s="6">
        <v>0</v>
      </c>
      <c r="AV20" s="6">
        <v>0</v>
      </c>
      <c r="AW20" s="6">
        <v>0</v>
      </c>
      <c r="AX20" s="40">
        <f t="shared" si="7"/>
        <v>0</v>
      </c>
      <c r="AY20" s="6">
        <v>5</v>
      </c>
      <c r="AZ20" s="6">
        <v>1</v>
      </c>
      <c r="BA20" s="6">
        <v>0</v>
      </c>
      <c r="BB20" s="36">
        <f t="shared" si="6"/>
        <v>2400</v>
      </c>
      <c r="BC20" s="6">
        <v>0</v>
      </c>
      <c r="BD20" s="6">
        <v>0</v>
      </c>
      <c r="BE20" s="6">
        <v>0</v>
      </c>
      <c r="BF20" s="36">
        <f t="shared" si="2"/>
        <v>0</v>
      </c>
      <c r="BG20" s="6">
        <v>6</v>
      </c>
      <c r="BH20" s="6">
        <v>0</v>
      </c>
      <c r="BI20" s="6">
        <v>15</v>
      </c>
      <c r="BJ20" s="36">
        <f t="shared" si="3"/>
        <v>297</v>
      </c>
      <c r="BK20" s="6">
        <v>2</v>
      </c>
      <c r="BL20" s="6">
        <v>0</v>
      </c>
      <c r="BM20" s="36">
        <f t="shared" si="4"/>
        <v>840</v>
      </c>
      <c r="BN20" s="33">
        <f t="shared" si="5"/>
        <v>2697</v>
      </c>
      <c r="BO20" s="15" t="s">
        <v>754</v>
      </c>
      <c r="BP20" s="17" t="s">
        <v>239</v>
      </c>
      <c r="DO20" s="36"/>
      <c r="DP20" s="36"/>
      <c r="HV20" s="4"/>
    </row>
    <row r="21" spans="1:232" ht="42" customHeight="1">
      <c r="A21" s="36" t="s">
        <v>672</v>
      </c>
      <c r="B21" s="30" t="s">
        <v>239</v>
      </c>
      <c r="C21" s="2" t="s">
        <v>755</v>
      </c>
      <c r="D21" s="37" t="s">
        <v>239</v>
      </c>
      <c r="E21" s="36" t="s">
        <v>756</v>
      </c>
      <c r="F21" s="36">
        <v>39</v>
      </c>
      <c r="G21" s="36" t="s">
        <v>466</v>
      </c>
      <c r="H21" s="36" t="s">
        <v>343</v>
      </c>
      <c r="I21" s="36" t="s">
        <v>343</v>
      </c>
      <c r="J21" s="36" t="s">
        <v>237</v>
      </c>
      <c r="K21" s="36" t="s">
        <v>237</v>
      </c>
      <c r="L21" s="36" t="s">
        <v>239</v>
      </c>
      <c r="M21" s="36" t="s">
        <v>239</v>
      </c>
      <c r="N21" s="30" t="s">
        <v>757</v>
      </c>
      <c r="O21" s="52">
        <v>0.75</v>
      </c>
      <c r="P21" s="54" t="s">
        <v>328</v>
      </c>
      <c r="Q21" s="36">
        <v>1468817</v>
      </c>
      <c r="R21" s="2">
        <v>51</v>
      </c>
      <c r="S21" s="2" t="s">
        <v>239</v>
      </c>
      <c r="T21" s="2"/>
      <c r="U21" s="36">
        <v>1</v>
      </c>
      <c r="V21" s="36">
        <v>1</v>
      </c>
      <c r="W21" s="36">
        <v>2</v>
      </c>
      <c r="X21" s="36">
        <v>0</v>
      </c>
      <c r="Y21" s="36">
        <v>0</v>
      </c>
      <c r="Z21" s="36">
        <v>0</v>
      </c>
      <c r="AA21" s="36">
        <v>0</v>
      </c>
      <c r="AB21" s="36">
        <v>0</v>
      </c>
      <c r="AC21" s="36">
        <v>0</v>
      </c>
      <c r="AD21" s="36">
        <v>0</v>
      </c>
      <c r="AE21" s="36">
        <v>0</v>
      </c>
      <c r="AF21" s="39">
        <f t="shared" si="8"/>
        <v>4</v>
      </c>
      <c r="AG21" s="36">
        <v>0</v>
      </c>
      <c r="AH21" s="36">
        <v>0</v>
      </c>
      <c r="AI21" s="36">
        <v>0</v>
      </c>
      <c r="AJ21" s="36">
        <v>0</v>
      </c>
      <c r="AK21" s="36">
        <v>0</v>
      </c>
      <c r="AL21" s="36">
        <v>0</v>
      </c>
      <c r="AM21" s="36">
        <v>0</v>
      </c>
      <c r="AN21" s="36">
        <v>0</v>
      </c>
      <c r="AO21" s="36">
        <v>0</v>
      </c>
      <c r="AP21" s="36">
        <v>0</v>
      </c>
      <c r="AQ21" s="36">
        <v>1</v>
      </c>
      <c r="AR21" s="36">
        <v>0</v>
      </c>
      <c r="AS21" s="36">
        <v>0</v>
      </c>
      <c r="AT21" s="36">
        <v>0</v>
      </c>
      <c r="AU21" s="36">
        <v>0</v>
      </c>
      <c r="AV21" s="36">
        <v>0</v>
      </c>
      <c r="AW21" s="36">
        <v>0</v>
      </c>
      <c r="AX21" s="40">
        <f t="shared" si="7"/>
        <v>1</v>
      </c>
      <c r="AY21" s="36">
        <v>2</v>
      </c>
      <c r="AZ21" s="36">
        <v>1</v>
      </c>
      <c r="BA21" s="36">
        <v>0</v>
      </c>
      <c r="BB21" s="36">
        <f t="shared" si="6"/>
        <v>960</v>
      </c>
      <c r="BC21" s="36">
        <v>7</v>
      </c>
      <c r="BD21" s="36">
        <v>1</v>
      </c>
      <c r="BE21" s="36">
        <v>0</v>
      </c>
      <c r="BF21" s="36">
        <f t="shared" si="2"/>
        <v>1680</v>
      </c>
      <c r="BG21" s="36">
        <v>5</v>
      </c>
      <c r="BH21" s="36">
        <v>0</v>
      </c>
      <c r="BI21" s="36">
        <v>10</v>
      </c>
      <c r="BJ21" s="36">
        <f t="shared" si="3"/>
        <v>165</v>
      </c>
      <c r="BK21" s="36">
        <v>7</v>
      </c>
      <c r="BL21" s="36">
        <v>0</v>
      </c>
      <c r="BM21" s="36">
        <f t="shared" si="4"/>
        <v>2940</v>
      </c>
      <c r="BN21" s="33">
        <f t="shared" si="5"/>
        <v>2805</v>
      </c>
      <c r="BO21" s="41" t="s">
        <v>758</v>
      </c>
      <c r="BP21" s="35" t="s">
        <v>759</v>
      </c>
      <c r="BQ21" s="2" t="s">
        <v>760</v>
      </c>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2"/>
      <c r="HW21" s="36"/>
      <c r="HX21" s="36"/>
    </row>
    <row r="22" spans="1:232" ht="42" customHeight="1">
      <c r="A22" s="36" t="s">
        <v>672</v>
      </c>
      <c r="B22" s="30" t="s">
        <v>239</v>
      </c>
      <c r="C22" s="2" t="s">
        <v>761</v>
      </c>
      <c r="D22" s="37" t="s">
        <v>239</v>
      </c>
      <c r="E22" s="36" t="s">
        <v>762</v>
      </c>
      <c r="F22" s="36">
        <v>54</v>
      </c>
      <c r="G22" s="36" t="s">
        <v>300</v>
      </c>
      <c r="H22" s="2" t="s">
        <v>763</v>
      </c>
      <c r="I22" s="36" t="s">
        <v>343</v>
      </c>
      <c r="J22" s="36" t="s">
        <v>237</v>
      </c>
      <c r="K22" s="36" t="s">
        <v>237</v>
      </c>
      <c r="L22" s="2" t="s">
        <v>239</v>
      </c>
      <c r="M22" s="2" t="s">
        <v>239</v>
      </c>
      <c r="N22" s="30" t="s">
        <v>558</v>
      </c>
      <c r="O22" s="52">
        <v>0.70833333333333337</v>
      </c>
      <c r="P22" s="54" t="s">
        <v>503</v>
      </c>
      <c r="Q22" s="36">
        <v>1483784</v>
      </c>
      <c r="R22" s="36">
        <v>52</v>
      </c>
      <c r="S22" s="4" t="s">
        <v>764</v>
      </c>
      <c r="T22" s="2"/>
      <c r="U22" s="36">
        <v>0</v>
      </c>
      <c r="V22" s="36">
        <v>0</v>
      </c>
      <c r="W22" s="36">
        <v>0</v>
      </c>
      <c r="X22" s="36">
        <v>0</v>
      </c>
      <c r="Y22" s="36">
        <v>0</v>
      </c>
      <c r="Z22" s="36">
        <v>0</v>
      </c>
      <c r="AA22" s="36">
        <v>0</v>
      </c>
      <c r="AB22" s="36">
        <v>0</v>
      </c>
      <c r="AC22" s="36">
        <v>0</v>
      </c>
      <c r="AD22" s="36">
        <v>0</v>
      </c>
      <c r="AE22" s="36">
        <v>0</v>
      </c>
      <c r="AF22" s="39">
        <v>0</v>
      </c>
      <c r="AG22" s="36">
        <v>0</v>
      </c>
      <c r="AH22" s="36">
        <v>0</v>
      </c>
      <c r="AI22" s="36">
        <v>0</v>
      </c>
      <c r="AJ22" s="36">
        <v>0</v>
      </c>
      <c r="AK22" s="36">
        <v>1</v>
      </c>
      <c r="AL22" s="36">
        <v>1</v>
      </c>
      <c r="AM22" s="36">
        <v>0</v>
      </c>
      <c r="AN22" s="36">
        <v>0</v>
      </c>
      <c r="AO22" s="36">
        <v>0</v>
      </c>
      <c r="AP22" s="36">
        <v>1</v>
      </c>
      <c r="AQ22" s="36">
        <v>0</v>
      </c>
      <c r="AR22" s="36">
        <v>0</v>
      </c>
      <c r="AS22" s="36">
        <v>0</v>
      </c>
      <c r="AT22" s="36">
        <v>0</v>
      </c>
      <c r="AU22" s="36">
        <v>0</v>
      </c>
      <c r="AV22" s="36">
        <v>0</v>
      </c>
      <c r="AW22" s="36">
        <v>0</v>
      </c>
      <c r="AX22" s="40">
        <f t="shared" si="7"/>
        <v>3</v>
      </c>
      <c r="AY22" s="36">
        <v>0</v>
      </c>
      <c r="AZ22" s="36">
        <v>0</v>
      </c>
      <c r="BA22" s="36">
        <v>0</v>
      </c>
      <c r="BB22" s="36">
        <f t="shared" si="6"/>
        <v>0</v>
      </c>
      <c r="BC22" s="36">
        <v>3</v>
      </c>
      <c r="BD22" s="36">
        <v>0</v>
      </c>
      <c r="BE22" s="36">
        <v>30</v>
      </c>
      <c r="BF22" s="36">
        <f t="shared" si="2"/>
        <v>360</v>
      </c>
      <c r="BG22" s="36">
        <v>7</v>
      </c>
      <c r="BH22" s="36">
        <v>2</v>
      </c>
      <c r="BI22" s="36">
        <v>30</v>
      </c>
      <c r="BJ22" s="36">
        <f t="shared" si="3"/>
        <v>3465</v>
      </c>
      <c r="BK22" s="36">
        <v>9</v>
      </c>
      <c r="BL22" s="36">
        <v>0</v>
      </c>
      <c r="BM22" s="36">
        <f t="shared" si="4"/>
        <v>3780</v>
      </c>
      <c r="BN22" s="33">
        <f t="shared" si="5"/>
        <v>3825</v>
      </c>
      <c r="BO22" s="33" t="s">
        <v>239</v>
      </c>
      <c r="BP22" s="35" t="s">
        <v>765</v>
      </c>
      <c r="BQ22" s="2" t="s">
        <v>766</v>
      </c>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2"/>
      <c r="HW22" s="36"/>
      <c r="HX22" s="36"/>
    </row>
    <row r="23" spans="1:232" ht="42" customHeight="1">
      <c r="A23" s="36" t="s">
        <v>672</v>
      </c>
      <c r="B23" s="30" t="s">
        <v>239</v>
      </c>
      <c r="C23" s="2" t="s">
        <v>767</v>
      </c>
      <c r="D23" s="37" t="s">
        <v>239</v>
      </c>
      <c r="E23" s="36" t="s">
        <v>684</v>
      </c>
      <c r="F23" s="36">
        <v>32</v>
      </c>
      <c r="G23" s="2" t="s">
        <v>235</v>
      </c>
      <c r="H23" s="36" t="s">
        <v>237</v>
      </c>
      <c r="I23" s="36" t="s">
        <v>237</v>
      </c>
      <c r="J23" s="36" t="s">
        <v>237</v>
      </c>
      <c r="K23" s="36" t="s">
        <v>237</v>
      </c>
      <c r="L23" s="36" t="s">
        <v>239</v>
      </c>
      <c r="M23" s="36" t="s">
        <v>239</v>
      </c>
      <c r="N23" s="30" t="s">
        <v>558</v>
      </c>
      <c r="O23" s="52">
        <v>0.66666666666666663</v>
      </c>
      <c r="P23" s="54" t="s">
        <v>524</v>
      </c>
      <c r="Q23" s="36">
        <v>1481576</v>
      </c>
      <c r="R23" s="36">
        <v>48</v>
      </c>
      <c r="S23" s="2" t="s">
        <v>239</v>
      </c>
      <c r="T23" s="2"/>
      <c r="U23" s="36">
        <v>0</v>
      </c>
      <c r="V23" s="36">
        <v>0</v>
      </c>
      <c r="W23" s="36">
        <v>0</v>
      </c>
      <c r="X23" s="36">
        <v>0</v>
      </c>
      <c r="Y23" s="36">
        <v>0</v>
      </c>
      <c r="Z23" s="36">
        <v>0</v>
      </c>
      <c r="AA23" s="36">
        <v>0</v>
      </c>
      <c r="AB23" s="36">
        <v>0</v>
      </c>
      <c r="AC23" s="36">
        <v>0</v>
      </c>
      <c r="AD23" s="36">
        <v>0</v>
      </c>
      <c r="AE23" s="36">
        <v>0</v>
      </c>
      <c r="AF23" s="39">
        <v>0</v>
      </c>
      <c r="AG23" s="36">
        <v>1</v>
      </c>
      <c r="AH23" s="36">
        <v>0</v>
      </c>
      <c r="AI23" s="36">
        <v>0</v>
      </c>
      <c r="AJ23" s="36">
        <v>0</v>
      </c>
      <c r="AK23" s="36">
        <v>0</v>
      </c>
      <c r="AL23" s="36">
        <v>0</v>
      </c>
      <c r="AM23" s="36">
        <v>1</v>
      </c>
      <c r="AN23" s="36">
        <v>0</v>
      </c>
      <c r="AO23" s="36">
        <v>1</v>
      </c>
      <c r="AP23" s="36">
        <v>0</v>
      </c>
      <c r="AQ23" s="36">
        <v>0</v>
      </c>
      <c r="AR23" s="36">
        <v>0</v>
      </c>
      <c r="AS23" s="36">
        <v>0</v>
      </c>
      <c r="AT23" s="36">
        <v>0</v>
      </c>
      <c r="AU23" s="36">
        <v>0</v>
      </c>
      <c r="AV23" s="36">
        <v>0</v>
      </c>
      <c r="AW23" s="36">
        <v>0</v>
      </c>
      <c r="AX23" s="40">
        <f t="shared" si="7"/>
        <v>3</v>
      </c>
      <c r="AY23" s="36">
        <v>0</v>
      </c>
      <c r="AZ23" s="36">
        <v>0</v>
      </c>
      <c r="BA23" s="36">
        <v>0</v>
      </c>
      <c r="BB23" s="36">
        <f t="shared" si="6"/>
        <v>0</v>
      </c>
      <c r="BC23" s="36">
        <v>3</v>
      </c>
      <c r="BD23" s="36">
        <v>0</v>
      </c>
      <c r="BE23" s="36">
        <v>40</v>
      </c>
      <c r="BF23" s="36">
        <f t="shared" si="2"/>
        <v>480</v>
      </c>
      <c r="BG23" s="36">
        <v>7</v>
      </c>
      <c r="BH23" s="36">
        <v>2</v>
      </c>
      <c r="BI23" s="36">
        <v>0</v>
      </c>
      <c r="BJ23" s="36">
        <f t="shared" si="3"/>
        <v>2772</v>
      </c>
      <c r="BK23" s="36">
        <v>9</v>
      </c>
      <c r="BL23" s="36">
        <v>0</v>
      </c>
      <c r="BM23" s="36">
        <f t="shared" si="4"/>
        <v>3780</v>
      </c>
      <c r="BN23" s="33">
        <f t="shared" si="5"/>
        <v>3252</v>
      </c>
      <c r="BO23" s="33" t="s">
        <v>239</v>
      </c>
      <c r="BP23" s="34" t="s">
        <v>768</v>
      </c>
      <c r="BQ23" s="36"/>
      <c r="BR23" s="52"/>
      <c r="BS23" s="28"/>
      <c r="BT23" s="2"/>
      <c r="BU23" s="2"/>
      <c r="BV23" s="2"/>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48"/>
      <c r="DU23" s="48"/>
      <c r="DV23" s="48"/>
      <c r="DW23" s="48"/>
      <c r="DX23" s="48"/>
      <c r="DY23" s="48"/>
      <c r="DZ23" s="48"/>
      <c r="EA23" s="48"/>
      <c r="EB23" s="48"/>
      <c r="EC23" s="48"/>
      <c r="ED23" s="48"/>
      <c r="EE23" s="48"/>
      <c r="EF23" s="48"/>
      <c r="EG23" s="48"/>
      <c r="EH23" s="48"/>
      <c r="EI23" s="48"/>
      <c r="EJ23" s="36"/>
      <c r="EK23" s="48"/>
      <c r="EL23" s="48"/>
      <c r="EM23" s="48"/>
      <c r="EN23" s="48"/>
      <c r="EO23" s="48"/>
      <c r="EP23" s="48"/>
      <c r="EQ23" s="48"/>
      <c r="ER23" s="48"/>
      <c r="ES23" s="48"/>
      <c r="ET23" s="48"/>
      <c r="EU23" s="48"/>
      <c r="EV23" s="48"/>
      <c r="EW23" s="48"/>
      <c r="EX23" s="48"/>
      <c r="EY23" s="48"/>
      <c r="EZ23" s="48"/>
      <c r="FA23" s="48"/>
      <c r="FB23" s="36"/>
      <c r="FC23" s="48"/>
      <c r="FD23" s="48"/>
      <c r="FE23" s="48"/>
      <c r="FF23" s="48"/>
      <c r="FG23" s="48"/>
      <c r="FH23" s="48"/>
      <c r="FI23" s="48"/>
      <c r="FJ23" s="48"/>
      <c r="FK23" s="48"/>
      <c r="FL23" s="48"/>
      <c r="FM23" s="48"/>
      <c r="FN23" s="48"/>
      <c r="FO23" s="48"/>
      <c r="FP23" s="48"/>
      <c r="FQ23" s="48"/>
      <c r="FR23" s="36"/>
      <c r="FS23" s="36"/>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134"/>
      <c r="HW23" s="36"/>
      <c r="HX23" s="36"/>
    </row>
    <row r="24" spans="1:232" ht="42" customHeight="1">
      <c r="A24" s="36" t="s">
        <v>672</v>
      </c>
      <c r="B24" s="30" t="s">
        <v>239</v>
      </c>
      <c r="C24" s="36" t="s">
        <v>769</v>
      </c>
      <c r="D24" s="37" t="s">
        <v>239</v>
      </c>
      <c r="E24" s="36" t="s">
        <v>770</v>
      </c>
      <c r="F24" s="36">
        <v>20</v>
      </c>
      <c r="G24" s="36" t="s">
        <v>235</v>
      </c>
      <c r="H24" s="36" t="s">
        <v>237</v>
      </c>
      <c r="I24" s="36" t="s">
        <v>237</v>
      </c>
      <c r="J24" s="36" t="s">
        <v>237</v>
      </c>
      <c r="K24" s="36" t="s">
        <v>237</v>
      </c>
      <c r="L24" s="36" t="s">
        <v>239</v>
      </c>
      <c r="M24" s="36" t="s">
        <v>239</v>
      </c>
      <c r="N24" s="30" t="s">
        <v>558</v>
      </c>
      <c r="O24" s="52">
        <v>0.91041666666666676</v>
      </c>
      <c r="P24" s="54" t="s">
        <v>257</v>
      </c>
      <c r="Q24" s="54">
        <v>1483808</v>
      </c>
      <c r="R24" s="36">
        <v>48</v>
      </c>
      <c r="S24" s="2" t="s">
        <v>239</v>
      </c>
      <c r="T24" s="2"/>
      <c r="U24" s="36">
        <v>2</v>
      </c>
      <c r="V24" s="36">
        <v>2</v>
      </c>
      <c r="W24" s="36">
        <v>0</v>
      </c>
      <c r="X24" s="36">
        <v>1</v>
      </c>
      <c r="Y24" s="36">
        <v>0</v>
      </c>
      <c r="Z24" s="36">
        <v>0</v>
      </c>
      <c r="AA24" s="36">
        <v>0</v>
      </c>
      <c r="AB24" s="36">
        <v>0</v>
      </c>
      <c r="AC24" s="36">
        <v>0</v>
      </c>
      <c r="AD24" s="36">
        <v>0</v>
      </c>
      <c r="AE24" s="36">
        <v>0</v>
      </c>
      <c r="AF24" s="39">
        <f t="shared" si="8"/>
        <v>5</v>
      </c>
      <c r="AG24" s="36">
        <v>0</v>
      </c>
      <c r="AH24" s="36">
        <v>0</v>
      </c>
      <c r="AI24" s="36">
        <v>0</v>
      </c>
      <c r="AJ24" s="36">
        <v>1</v>
      </c>
      <c r="AK24" s="36">
        <v>0</v>
      </c>
      <c r="AL24" s="36">
        <v>1</v>
      </c>
      <c r="AM24" s="36">
        <v>0</v>
      </c>
      <c r="AN24" s="36">
        <v>0</v>
      </c>
      <c r="AO24" s="36">
        <v>0</v>
      </c>
      <c r="AP24" s="36">
        <v>1</v>
      </c>
      <c r="AQ24" s="36">
        <v>0</v>
      </c>
      <c r="AR24" s="36">
        <v>0</v>
      </c>
      <c r="AS24" s="36">
        <v>0</v>
      </c>
      <c r="AT24" s="36">
        <v>0</v>
      </c>
      <c r="AU24" s="36">
        <v>0</v>
      </c>
      <c r="AV24" s="36">
        <v>0</v>
      </c>
      <c r="AW24" s="36">
        <v>0</v>
      </c>
      <c r="AX24" s="40">
        <f t="shared" si="7"/>
        <v>3</v>
      </c>
      <c r="AY24" s="36">
        <v>0</v>
      </c>
      <c r="AZ24" s="36">
        <v>0</v>
      </c>
      <c r="BA24" s="36">
        <v>0</v>
      </c>
      <c r="BB24" s="36">
        <f t="shared" ref="BB24:BB26" si="9">8*(AY24*(AZ24*60+BA24))</f>
        <v>0</v>
      </c>
      <c r="BC24" s="36">
        <v>3</v>
      </c>
      <c r="BD24" s="36">
        <v>0</v>
      </c>
      <c r="BE24" s="36">
        <v>30</v>
      </c>
      <c r="BF24" s="36">
        <f t="shared" ref="BF24:BF27" si="10">4*(BC24*(BD24*60+BE24))</f>
        <v>360</v>
      </c>
      <c r="BG24" s="36">
        <v>4</v>
      </c>
      <c r="BH24" s="36">
        <v>0</v>
      </c>
      <c r="BI24" s="36">
        <v>20</v>
      </c>
      <c r="BJ24" s="36">
        <f t="shared" ref="BJ24:BJ26" si="11">3.3*(BG24*(BH24*60+BI24))</f>
        <v>264</v>
      </c>
      <c r="BK24" s="36">
        <v>5</v>
      </c>
      <c r="BL24" s="36">
        <v>0</v>
      </c>
      <c r="BM24" s="36">
        <f t="shared" ref="BM24:BM27" si="12">1*(7*(BK24*60+BL24))</f>
        <v>2100</v>
      </c>
      <c r="BN24" s="33">
        <f t="shared" si="5"/>
        <v>624</v>
      </c>
      <c r="BO24" s="33" t="s">
        <v>239</v>
      </c>
      <c r="BP24" s="34" t="s">
        <v>771</v>
      </c>
      <c r="BQ24" s="36"/>
      <c r="BR24" s="52"/>
      <c r="BS24" s="28"/>
      <c r="BT24" s="2"/>
      <c r="BU24" s="36"/>
      <c r="BV24" s="2"/>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52"/>
      <c r="DU24" s="28"/>
      <c r="DV24" s="28"/>
      <c r="DW24" s="36"/>
      <c r="DX24" s="2"/>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2"/>
      <c r="HW24" s="36"/>
      <c r="HX24" s="36"/>
    </row>
    <row r="25" spans="1:232" ht="42" customHeight="1">
      <c r="A25" s="36" t="s">
        <v>672</v>
      </c>
      <c r="B25" s="30" t="s">
        <v>239</v>
      </c>
      <c r="C25" s="36" t="s">
        <v>772</v>
      </c>
      <c r="D25" s="37" t="s">
        <v>239</v>
      </c>
      <c r="E25" s="36" t="s">
        <v>773</v>
      </c>
      <c r="F25" s="36">
        <v>21</v>
      </c>
      <c r="G25" s="36" t="s">
        <v>300</v>
      </c>
      <c r="H25" s="36" t="s">
        <v>237</v>
      </c>
      <c r="I25" s="36" t="s">
        <v>237</v>
      </c>
      <c r="J25" s="36" t="s">
        <v>237</v>
      </c>
      <c r="K25" s="36" t="s">
        <v>237</v>
      </c>
      <c r="L25" s="36" t="s">
        <v>239</v>
      </c>
      <c r="M25" s="36" t="s">
        <v>239</v>
      </c>
      <c r="N25" s="30" t="s">
        <v>774</v>
      </c>
      <c r="O25" s="52">
        <v>0.5</v>
      </c>
      <c r="P25" s="54" t="s">
        <v>576</v>
      </c>
      <c r="Q25" s="54">
        <v>1493553</v>
      </c>
      <c r="R25" s="36">
        <v>51</v>
      </c>
      <c r="S25" s="2" t="s">
        <v>239</v>
      </c>
      <c r="T25" s="2"/>
      <c r="U25" s="36">
        <v>2</v>
      </c>
      <c r="V25" s="36">
        <v>2</v>
      </c>
      <c r="W25" s="36">
        <v>2</v>
      </c>
      <c r="X25" s="36">
        <v>1</v>
      </c>
      <c r="Y25" s="36">
        <v>4</v>
      </c>
      <c r="Z25" s="36">
        <v>0</v>
      </c>
      <c r="AA25" s="36">
        <v>3</v>
      </c>
      <c r="AB25" s="36">
        <v>4</v>
      </c>
      <c r="AC25" s="36">
        <v>0</v>
      </c>
      <c r="AD25" s="36">
        <v>1</v>
      </c>
      <c r="AE25" s="36">
        <v>0</v>
      </c>
      <c r="AF25" s="39">
        <f t="shared" si="8"/>
        <v>19</v>
      </c>
      <c r="AG25" s="36">
        <v>1</v>
      </c>
      <c r="AH25" s="36">
        <v>0</v>
      </c>
      <c r="AI25" s="36">
        <v>0</v>
      </c>
      <c r="AJ25" s="36">
        <v>0</v>
      </c>
      <c r="AK25" s="36">
        <v>0</v>
      </c>
      <c r="AL25" s="36">
        <v>1</v>
      </c>
      <c r="AM25" s="36">
        <v>0</v>
      </c>
      <c r="AN25" s="36">
        <v>1</v>
      </c>
      <c r="AO25" s="36">
        <v>1</v>
      </c>
      <c r="AP25" s="36">
        <v>1</v>
      </c>
      <c r="AQ25" s="36">
        <v>0</v>
      </c>
      <c r="AR25" s="36">
        <v>1</v>
      </c>
      <c r="AS25" s="36">
        <v>0</v>
      </c>
      <c r="AT25" s="36">
        <v>0</v>
      </c>
      <c r="AU25" s="36">
        <v>0</v>
      </c>
      <c r="AV25" s="36">
        <v>0</v>
      </c>
      <c r="AW25" s="36">
        <v>1</v>
      </c>
      <c r="AX25" s="40">
        <f t="shared" si="7"/>
        <v>7</v>
      </c>
      <c r="AY25" s="36">
        <v>0</v>
      </c>
      <c r="AZ25" s="36">
        <v>0</v>
      </c>
      <c r="BA25" s="36">
        <v>0</v>
      </c>
      <c r="BB25" s="36">
        <f t="shared" si="9"/>
        <v>0</v>
      </c>
      <c r="BC25" s="36">
        <v>2</v>
      </c>
      <c r="BD25" s="36">
        <v>0</v>
      </c>
      <c r="BE25" s="36">
        <v>40</v>
      </c>
      <c r="BF25" s="36">
        <f t="shared" si="10"/>
        <v>320</v>
      </c>
      <c r="BG25" s="36">
        <v>3</v>
      </c>
      <c r="BH25" s="36">
        <v>0</v>
      </c>
      <c r="BI25" s="36">
        <v>45</v>
      </c>
      <c r="BJ25" s="36">
        <f t="shared" si="11"/>
        <v>445.5</v>
      </c>
      <c r="BK25" s="36">
        <v>7</v>
      </c>
      <c r="BL25" s="36">
        <v>0</v>
      </c>
      <c r="BM25" s="36">
        <f t="shared" si="12"/>
        <v>2940</v>
      </c>
      <c r="BN25" s="33">
        <f t="shared" si="5"/>
        <v>765.5</v>
      </c>
      <c r="BO25" s="33" t="s">
        <v>775</v>
      </c>
      <c r="BP25" s="35" t="s">
        <v>776</v>
      </c>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2"/>
      <c r="HW25" s="36"/>
      <c r="HX25" s="36"/>
    </row>
    <row r="26" spans="1:232" ht="42" customHeight="1">
      <c r="A26" s="36" t="s">
        <v>672</v>
      </c>
      <c r="B26" s="30"/>
      <c r="C26" s="36" t="s">
        <v>777</v>
      </c>
      <c r="D26" s="37" t="s">
        <v>239</v>
      </c>
      <c r="E26" s="36" t="s">
        <v>778</v>
      </c>
      <c r="F26" s="36">
        <v>23</v>
      </c>
      <c r="G26" s="36" t="s">
        <v>300</v>
      </c>
      <c r="H26" s="36" t="s">
        <v>237</v>
      </c>
      <c r="I26" s="36" t="s">
        <v>237</v>
      </c>
      <c r="J26" s="36" t="s">
        <v>237</v>
      </c>
      <c r="K26" s="36" t="s">
        <v>237</v>
      </c>
      <c r="L26" s="36" t="s">
        <v>239</v>
      </c>
      <c r="M26" s="36" t="s">
        <v>239</v>
      </c>
      <c r="N26" s="30" t="s">
        <v>779</v>
      </c>
      <c r="O26" s="52">
        <v>0.75</v>
      </c>
      <c r="P26" s="54" t="s">
        <v>524</v>
      </c>
      <c r="Q26" s="54">
        <v>1493462</v>
      </c>
      <c r="R26" s="36">
        <v>50</v>
      </c>
      <c r="S26" s="2" t="s">
        <v>239</v>
      </c>
      <c r="T26" s="2"/>
      <c r="U26" s="36">
        <v>0</v>
      </c>
      <c r="V26" s="36">
        <v>0</v>
      </c>
      <c r="W26" s="36">
        <v>0</v>
      </c>
      <c r="X26" s="36">
        <v>0</v>
      </c>
      <c r="Y26" s="36">
        <v>0</v>
      </c>
      <c r="Z26" s="36">
        <v>0</v>
      </c>
      <c r="AA26" s="36">
        <v>0</v>
      </c>
      <c r="AB26" s="36">
        <v>0</v>
      </c>
      <c r="AC26" s="36">
        <v>0</v>
      </c>
      <c r="AD26" s="36">
        <v>0</v>
      </c>
      <c r="AE26" s="36">
        <v>0</v>
      </c>
      <c r="AF26" s="39">
        <f t="shared" si="8"/>
        <v>0</v>
      </c>
      <c r="AG26" s="36">
        <v>0</v>
      </c>
      <c r="AH26" s="36">
        <v>0</v>
      </c>
      <c r="AI26" s="36">
        <v>0</v>
      </c>
      <c r="AJ26" s="36">
        <v>0</v>
      </c>
      <c r="AK26" s="36">
        <v>0</v>
      </c>
      <c r="AL26" s="36">
        <v>0</v>
      </c>
      <c r="AM26" s="36">
        <v>0</v>
      </c>
      <c r="AN26" s="36">
        <v>0</v>
      </c>
      <c r="AO26" s="36">
        <v>1</v>
      </c>
      <c r="AP26" s="36">
        <v>2</v>
      </c>
      <c r="AQ26" s="36">
        <v>1</v>
      </c>
      <c r="AR26" s="36">
        <v>0</v>
      </c>
      <c r="AS26" s="36">
        <v>1</v>
      </c>
      <c r="AT26" s="36">
        <v>0</v>
      </c>
      <c r="AU26" s="36">
        <v>0</v>
      </c>
      <c r="AV26" s="36">
        <v>0</v>
      </c>
      <c r="AW26" s="36">
        <v>0</v>
      </c>
      <c r="AX26" s="40">
        <f t="shared" si="7"/>
        <v>5</v>
      </c>
      <c r="AY26" s="36">
        <v>0</v>
      </c>
      <c r="AZ26" s="36">
        <v>0</v>
      </c>
      <c r="BA26" s="36">
        <v>0</v>
      </c>
      <c r="BB26" s="36">
        <f t="shared" si="9"/>
        <v>0</v>
      </c>
      <c r="BC26" s="36">
        <v>0</v>
      </c>
      <c r="BD26" s="36">
        <v>0</v>
      </c>
      <c r="BE26" s="36">
        <v>0</v>
      </c>
      <c r="BF26" s="36">
        <f t="shared" si="10"/>
        <v>0</v>
      </c>
      <c r="BG26" s="36">
        <v>7</v>
      </c>
      <c r="BH26" s="36">
        <v>2</v>
      </c>
      <c r="BI26" s="36">
        <v>0</v>
      </c>
      <c r="BJ26" s="36">
        <f t="shared" si="11"/>
        <v>2772</v>
      </c>
      <c r="BK26" s="36">
        <v>6</v>
      </c>
      <c r="BL26" s="36">
        <v>0</v>
      </c>
      <c r="BM26" s="36">
        <f t="shared" si="12"/>
        <v>2520</v>
      </c>
      <c r="BN26" s="33">
        <f t="shared" si="5"/>
        <v>2772</v>
      </c>
      <c r="BO26" s="33" t="s">
        <v>239</v>
      </c>
      <c r="BP26" s="34" t="s">
        <v>780</v>
      </c>
      <c r="BQ26" s="36" t="s">
        <v>781</v>
      </c>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2"/>
      <c r="HW26" s="36"/>
      <c r="HX26" s="36"/>
    </row>
    <row r="27" spans="1:232" ht="42" customHeight="1">
      <c r="A27" s="36"/>
      <c r="B27" s="30"/>
      <c r="C27" s="2"/>
      <c r="D27" s="37"/>
      <c r="E27" s="36"/>
      <c r="F27" s="36"/>
      <c r="G27" s="36"/>
      <c r="H27" s="2"/>
      <c r="I27" s="36"/>
      <c r="J27" s="36"/>
      <c r="K27" s="2"/>
      <c r="L27" s="2"/>
      <c r="M27" s="2"/>
      <c r="N27" s="30"/>
      <c r="O27" s="52"/>
      <c r="P27" s="28"/>
      <c r="Q27" s="28"/>
      <c r="R27" s="36"/>
      <c r="S27" s="2"/>
      <c r="T27" s="2"/>
      <c r="U27" s="36"/>
      <c r="V27" s="36"/>
      <c r="W27" s="36"/>
      <c r="X27" s="36"/>
      <c r="Y27" s="36"/>
      <c r="Z27" s="36"/>
      <c r="AA27" s="36"/>
      <c r="AB27" s="36"/>
      <c r="AC27" s="36"/>
      <c r="AD27" s="36"/>
      <c r="AE27" s="36"/>
      <c r="AF27" s="39">
        <f t="shared" si="8"/>
        <v>0</v>
      </c>
      <c r="AG27" s="36"/>
      <c r="AH27" s="36"/>
      <c r="AI27" s="36"/>
      <c r="AJ27" s="36"/>
      <c r="AK27" s="36"/>
      <c r="AL27" s="36"/>
      <c r="AM27" s="36"/>
      <c r="AN27" s="36"/>
      <c r="AO27" s="36"/>
      <c r="AP27" s="36"/>
      <c r="AQ27" s="36"/>
      <c r="AR27" s="36"/>
      <c r="AS27" s="36"/>
      <c r="AT27" s="36"/>
      <c r="AU27" s="36"/>
      <c r="AV27" s="36"/>
      <c r="AW27" s="36"/>
      <c r="AX27" s="40"/>
      <c r="AY27" s="36"/>
      <c r="AZ27" s="36"/>
      <c r="BA27" s="36"/>
      <c r="BB27" s="36">
        <f t="shared" si="6"/>
        <v>0</v>
      </c>
      <c r="BC27" s="36"/>
      <c r="BD27" s="36"/>
      <c r="BE27" s="36"/>
      <c r="BF27" s="36">
        <f t="shared" si="10"/>
        <v>0</v>
      </c>
      <c r="BG27" s="36"/>
      <c r="BH27" s="36"/>
      <c r="BI27" s="36"/>
      <c r="BJ27" s="36">
        <f t="shared" si="3"/>
        <v>0</v>
      </c>
      <c r="BK27" s="36"/>
      <c r="BL27" s="36"/>
      <c r="BM27" s="36">
        <f t="shared" si="12"/>
        <v>0</v>
      </c>
      <c r="BN27" s="33">
        <f t="shared" si="5"/>
        <v>0</v>
      </c>
      <c r="BO27" s="33"/>
      <c r="BP27" s="34"/>
      <c r="BQ27" s="36"/>
      <c r="BR27" s="52"/>
      <c r="BS27" s="28"/>
      <c r="BT27" s="2"/>
      <c r="BU27" s="36"/>
      <c r="BV27" s="2"/>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2"/>
      <c r="HW27" s="36"/>
      <c r="HX27" s="36"/>
    </row>
    <row r="28" spans="1:232" ht="42" customHeight="1">
      <c r="A28" s="36"/>
      <c r="B28" s="30"/>
      <c r="C28" s="36"/>
      <c r="D28" s="37"/>
      <c r="E28" s="36"/>
      <c r="F28" s="36"/>
      <c r="G28" s="2"/>
      <c r="H28" s="2"/>
      <c r="I28" s="36"/>
      <c r="J28" s="36"/>
      <c r="K28" s="36"/>
      <c r="L28" s="36"/>
      <c r="M28" s="36"/>
      <c r="N28" s="30"/>
      <c r="O28" s="52"/>
      <c r="P28" s="28"/>
      <c r="Q28" s="28"/>
      <c r="R28" s="36"/>
      <c r="S28" s="2"/>
      <c r="T28" s="2"/>
      <c r="U28" s="36"/>
      <c r="V28" s="36"/>
      <c r="W28" s="36"/>
      <c r="X28" s="36"/>
      <c r="Y28" s="36"/>
      <c r="Z28" s="36"/>
      <c r="AA28" s="36"/>
      <c r="AB28" s="36"/>
      <c r="AC28" s="36"/>
      <c r="AD28" s="36"/>
      <c r="AE28" s="36"/>
      <c r="AF28" s="39"/>
      <c r="AG28" s="36"/>
      <c r="AH28" s="36"/>
      <c r="AI28" s="36"/>
      <c r="AJ28" s="36"/>
      <c r="AK28" s="36"/>
      <c r="AL28" s="36"/>
      <c r="AM28" s="36"/>
      <c r="AN28" s="36"/>
      <c r="AO28" s="36"/>
      <c r="AP28" s="36"/>
      <c r="AQ28" s="36"/>
      <c r="AR28" s="36"/>
      <c r="AS28" s="36"/>
      <c r="AT28" s="36"/>
      <c r="AU28" s="36"/>
      <c r="AV28" s="36"/>
      <c r="AW28" s="36"/>
      <c r="AX28" s="40"/>
      <c r="AY28" s="36"/>
      <c r="AZ28" s="36"/>
      <c r="BA28" s="36"/>
      <c r="BB28" s="36">
        <f t="shared" si="6"/>
        <v>0</v>
      </c>
      <c r="BC28" s="36"/>
      <c r="BD28" s="36"/>
      <c r="BE28" s="36"/>
      <c r="BF28" s="36">
        <f t="shared" si="2"/>
        <v>0</v>
      </c>
      <c r="BG28" s="36"/>
      <c r="BH28" s="36"/>
      <c r="BI28" s="36"/>
      <c r="BJ28" s="36"/>
      <c r="BK28" s="36"/>
      <c r="BL28" s="36"/>
      <c r="BM28" s="36"/>
      <c r="BN28" s="33">
        <f t="shared" si="5"/>
        <v>0</v>
      </c>
      <c r="BO28" s="33"/>
      <c r="BP28" s="35"/>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6"/>
      <c r="GQ28" s="36"/>
      <c r="GR28" s="36"/>
      <c r="GS28" s="36"/>
      <c r="GT28" s="36"/>
      <c r="GU28" s="36"/>
      <c r="GV28" s="36"/>
      <c r="GW28" s="36"/>
      <c r="GX28" s="36"/>
      <c r="GY28" s="36"/>
      <c r="GZ28" s="36"/>
      <c r="HA28" s="36"/>
      <c r="HB28" s="36"/>
      <c r="HC28" s="36"/>
      <c r="HD28" s="36"/>
      <c r="HE28" s="36"/>
      <c r="HF28" s="36"/>
      <c r="HG28" s="36"/>
      <c r="HH28" s="36"/>
      <c r="HI28" s="36"/>
      <c r="HJ28" s="36"/>
      <c r="HK28" s="36"/>
      <c r="HL28" s="36"/>
      <c r="HM28" s="36"/>
      <c r="HN28" s="36"/>
      <c r="HO28" s="36"/>
      <c r="HP28" s="36"/>
      <c r="HQ28" s="36"/>
      <c r="HR28" s="36"/>
      <c r="HS28" s="36"/>
      <c r="HT28" s="36"/>
      <c r="HU28" s="36"/>
      <c r="HV28" s="2"/>
      <c r="HW28" s="36"/>
      <c r="HX28" s="36"/>
    </row>
    <row r="29" spans="1:232" ht="42" customHeight="1">
      <c r="A29" s="36"/>
      <c r="B29" s="30"/>
      <c r="C29" s="36"/>
      <c r="D29" s="37"/>
      <c r="E29" s="36"/>
      <c r="F29" s="36"/>
      <c r="G29" s="36"/>
      <c r="H29" s="36"/>
      <c r="I29" s="36"/>
      <c r="J29" s="36"/>
      <c r="K29" s="36"/>
      <c r="L29" s="36"/>
      <c r="M29" s="36"/>
      <c r="N29" s="30"/>
      <c r="O29" s="52"/>
      <c r="P29" s="28"/>
      <c r="Q29" s="28"/>
      <c r="R29" s="36"/>
      <c r="S29" s="2"/>
      <c r="T29" s="2"/>
      <c r="U29" s="36"/>
      <c r="V29" s="36"/>
      <c r="W29" s="36"/>
      <c r="X29" s="36"/>
      <c r="Y29" s="36"/>
      <c r="Z29" s="36"/>
      <c r="AA29" s="36"/>
      <c r="AB29" s="36"/>
      <c r="AC29" s="36"/>
      <c r="AD29" s="36"/>
      <c r="AE29" s="36"/>
      <c r="AF29" s="39"/>
      <c r="AG29" s="36"/>
      <c r="AH29" s="36"/>
      <c r="AI29" s="36"/>
      <c r="AJ29" s="36"/>
      <c r="AK29" s="36"/>
      <c r="AL29" s="36"/>
      <c r="AM29" s="36"/>
      <c r="AN29" s="36"/>
      <c r="AO29" s="36"/>
      <c r="AP29" s="36"/>
      <c r="AQ29" s="36"/>
      <c r="AR29" s="36"/>
      <c r="AS29" s="36"/>
      <c r="AT29" s="36"/>
      <c r="AU29" s="36"/>
      <c r="AV29" s="36"/>
      <c r="AW29" s="36"/>
      <c r="AX29" s="40"/>
      <c r="AY29" s="36"/>
      <c r="AZ29" s="36"/>
      <c r="BA29" s="36"/>
      <c r="BB29" s="36">
        <f t="shared" si="6"/>
        <v>0</v>
      </c>
      <c r="BC29" s="36"/>
      <c r="BD29" s="36"/>
      <c r="BE29" s="36"/>
      <c r="BF29" s="36">
        <f t="shared" si="2"/>
        <v>0</v>
      </c>
      <c r="BG29" s="36"/>
      <c r="BH29" s="36"/>
      <c r="BI29" s="36"/>
      <c r="BJ29" s="36"/>
      <c r="BK29" s="36"/>
      <c r="BL29" s="36"/>
      <c r="BM29" s="36"/>
      <c r="BN29" s="33"/>
      <c r="BO29" s="33"/>
      <c r="BP29" s="34"/>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c r="HA29" s="36"/>
      <c r="HB29" s="36"/>
      <c r="HC29" s="36"/>
      <c r="HD29" s="36"/>
      <c r="HE29" s="36"/>
      <c r="HF29" s="36"/>
      <c r="HG29" s="36"/>
      <c r="HH29" s="36"/>
      <c r="HI29" s="36"/>
      <c r="HJ29" s="36"/>
      <c r="HK29" s="36"/>
      <c r="HL29" s="36"/>
      <c r="HM29" s="36"/>
      <c r="HN29" s="36"/>
      <c r="HO29" s="36"/>
      <c r="HP29" s="36"/>
      <c r="HQ29" s="36"/>
      <c r="HR29" s="36"/>
      <c r="HS29" s="36"/>
      <c r="HT29" s="36"/>
      <c r="HU29" s="36"/>
      <c r="HV29" s="2"/>
      <c r="HW29" s="36"/>
      <c r="HX29" s="36"/>
    </row>
    <row r="30" spans="1:232" ht="42" customHeight="1">
      <c r="A30" s="36"/>
      <c r="B30" s="30"/>
      <c r="C30" s="36"/>
      <c r="D30" s="37"/>
      <c r="E30" s="36"/>
      <c r="F30" s="36"/>
      <c r="G30" s="36"/>
      <c r="H30" s="36"/>
      <c r="I30" s="36"/>
      <c r="J30" s="36"/>
      <c r="K30" s="36"/>
      <c r="L30" s="36"/>
      <c r="M30" s="36"/>
      <c r="N30" s="30"/>
      <c r="O30" s="52"/>
      <c r="P30" s="28"/>
      <c r="Q30" s="28"/>
      <c r="R30" s="36"/>
      <c r="S30" s="2"/>
      <c r="T30" s="2"/>
      <c r="U30" s="36"/>
      <c r="V30" s="36"/>
      <c r="W30" s="36"/>
      <c r="X30" s="36"/>
      <c r="Y30" s="36"/>
      <c r="Z30" s="36"/>
      <c r="AA30" s="36"/>
      <c r="AB30" s="36"/>
      <c r="AC30" s="36"/>
      <c r="AD30" s="36"/>
      <c r="AE30" s="36"/>
      <c r="AF30" s="39"/>
      <c r="AG30" s="36"/>
      <c r="AH30" s="36"/>
      <c r="AI30" s="36"/>
      <c r="AJ30" s="36"/>
      <c r="AK30" s="36"/>
      <c r="AL30" s="36"/>
      <c r="AM30" s="36"/>
      <c r="AN30" s="36"/>
      <c r="AO30" s="36"/>
      <c r="AP30" s="36"/>
      <c r="AQ30" s="36"/>
      <c r="AR30" s="36"/>
      <c r="AS30" s="36"/>
      <c r="AT30" s="36"/>
      <c r="AU30" s="36"/>
      <c r="AV30" s="36"/>
      <c r="AW30" s="36"/>
      <c r="AX30" s="40"/>
      <c r="AY30" s="36"/>
      <c r="AZ30" s="36"/>
      <c r="BA30" s="36"/>
      <c r="BB30" s="36">
        <f t="shared" si="6"/>
        <v>0</v>
      </c>
      <c r="BC30" s="36"/>
      <c r="BD30" s="36"/>
      <c r="BE30" s="36"/>
      <c r="BF30" s="36"/>
      <c r="BG30" s="36"/>
      <c r="BH30" s="36"/>
      <c r="BI30" s="36"/>
      <c r="BJ30" s="36"/>
      <c r="BK30" s="36"/>
      <c r="BL30" s="36"/>
      <c r="BM30" s="36"/>
      <c r="BN30" s="33"/>
      <c r="BO30" s="33"/>
      <c r="BP30" s="35"/>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c r="HA30" s="36"/>
      <c r="HB30" s="36"/>
      <c r="HC30" s="36"/>
      <c r="HD30" s="36"/>
      <c r="HE30" s="36"/>
      <c r="HF30" s="36"/>
      <c r="HG30" s="36"/>
      <c r="HH30" s="36"/>
      <c r="HI30" s="36"/>
      <c r="HJ30" s="36"/>
      <c r="HK30" s="36"/>
      <c r="HL30" s="36"/>
      <c r="HM30" s="36"/>
      <c r="HN30" s="36"/>
      <c r="HO30" s="36"/>
      <c r="HP30" s="36"/>
      <c r="HQ30" s="36"/>
      <c r="HR30" s="36"/>
      <c r="HS30" s="36"/>
      <c r="HT30" s="36"/>
      <c r="HU30" s="36"/>
      <c r="HV30" s="2"/>
      <c r="HW30" s="36"/>
      <c r="HX30" s="36"/>
    </row>
    <row r="31" spans="1:232" ht="42" customHeight="1">
      <c r="A31" s="36"/>
      <c r="B31" s="30"/>
      <c r="C31" s="36"/>
      <c r="D31" s="37"/>
      <c r="E31" s="36"/>
      <c r="F31" s="36"/>
      <c r="G31" s="36"/>
      <c r="H31" s="36"/>
      <c r="I31" s="36"/>
      <c r="J31" s="36"/>
      <c r="K31" s="36"/>
      <c r="L31" s="36"/>
      <c r="M31" s="36"/>
      <c r="N31" s="30"/>
      <c r="O31" s="52"/>
      <c r="P31" s="54"/>
      <c r="Q31" s="36"/>
      <c r="R31" s="36"/>
      <c r="S31" s="2"/>
      <c r="T31" s="2"/>
      <c r="U31" s="36"/>
      <c r="V31" s="36"/>
      <c r="W31" s="36"/>
      <c r="X31" s="36"/>
      <c r="Y31" s="36"/>
      <c r="Z31" s="36"/>
      <c r="AA31" s="36"/>
      <c r="AB31" s="36"/>
      <c r="AC31" s="36"/>
      <c r="AD31" s="36"/>
      <c r="AE31" s="36"/>
      <c r="AF31" s="39"/>
      <c r="AG31" s="36"/>
      <c r="AH31" s="36"/>
      <c r="AI31" s="36"/>
      <c r="AJ31" s="36"/>
      <c r="AK31" s="36"/>
      <c r="AL31" s="36"/>
      <c r="AM31" s="36"/>
      <c r="AN31" s="36"/>
      <c r="AO31" s="36"/>
      <c r="AP31" s="36"/>
      <c r="AQ31" s="36"/>
      <c r="AR31" s="36"/>
      <c r="AS31" s="36"/>
      <c r="AT31" s="36"/>
      <c r="AU31" s="36"/>
      <c r="AV31" s="36"/>
      <c r="AW31" s="36"/>
      <c r="AX31" s="40"/>
      <c r="AY31" s="36"/>
      <c r="AZ31" s="36"/>
      <c r="BA31" s="36"/>
      <c r="BB31" s="36"/>
      <c r="BC31" s="36"/>
      <c r="BD31" s="36"/>
      <c r="BE31" s="36"/>
      <c r="BF31" s="36"/>
      <c r="BG31" s="36"/>
      <c r="BH31" s="36"/>
      <c r="BI31" s="36"/>
      <c r="BJ31" s="36"/>
      <c r="BK31" s="36"/>
      <c r="BL31" s="36"/>
      <c r="BM31" s="36"/>
      <c r="BN31" s="33"/>
      <c r="BO31" s="33"/>
      <c r="BP31" s="34"/>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c r="HA31" s="36"/>
      <c r="HB31" s="36"/>
      <c r="HC31" s="36"/>
      <c r="HD31" s="36"/>
      <c r="HE31" s="36"/>
      <c r="HF31" s="36"/>
      <c r="HG31" s="36"/>
      <c r="HH31" s="36"/>
      <c r="HI31" s="36"/>
      <c r="HJ31" s="36"/>
      <c r="HK31" s="36"/>
      <c r="HL31" s="36"/>
      <c r="HM31" s="36"/>
      <c r="HN31" s="36"/>
      <c r="HO31" s="36"/>
      <c r="HP31" s="36"/>
      <c r="HQ31" s="36"/>
      <c r="HR31" s="36"/>
      <c r="HS31" s="36"/>
      <c r="HT31" s="36"/>
      <c r="HU31" s="36"/>
      <c r="HV31" s="2"/>
      <c r="HW31" s="36"/>
      <c r="HX31" s="36"/>
    </row>
    <row r="32" spans="1:232" ht="42" customHeight="1">
      <c r="A32" s="36"/>
      <c r="B32" s="30"/>
      <c r="C32" s="36"/>
      <c r="D32" s="37"/>
      <c r="E32" s="36"/>
      <c r="F32" s="36"/>
      <c r="G32" s="36"/>
      <c r="H32" s="36"/>
      <c r="I32" s="36"/>
      <c r="J32" s="36"/>
      <c r="K32" s="36"/>
      <c r="L32" s="36"/>
      <c r="M32" s="36"/>
      <c r="N32" s="30"/>
      <c r="O32" s="52"/>
      <c r="P32" s="36"/>
      <c r="Q32" s="36"/>
      <c r="R32" s="36"/>
      <c r="S32" s="2"/>
      <c r="T32" s="2"/>
      <c r="U32" s="36"/>
      <c r="V32" s="36"/>
      <c r="W32" s="36"/>
      <c r="X32" s="36"/>
      <c r="Y32" s="36"/>
      <c r="Z32" s="36"/>
      <c r="AA32" s="36"/>
      <c r="AB32" s="36"/>
      <c r="AC32" s="36"/>
      <c r="AD32" s="36"/>
      <c r="AE32" s="36"/>
      <c r="AF32" s="39"/>
      <c r="AG32" s="36"/>
      <c r="AH32" s="36"/>
      <c r="AI32" s="36"/>
      <c r="AJ32" s="36"/>
      <c r="AK32" s="36"/>
      <c r="AL32" s="36"/>
      <c r="AM32" s="36"/>
      <c r="AN32" s="36"/>
      <c r="AO32" s="36"/>
      <c r="AP32" s="36"/>
      <c r="AQ32" s="36"/>
      <c r="AR32" s="36"/>
      <c r="AS32" s="36"/>
      <c r="AT32" s="36"/>
      <c r="AU32" s="36"/>
      <c r="AV32" s="36"/>
      <c r="AW32" s="36"/>
      <c r="AX32" s="40"/>
      <c r="AY32" s="36"/>
      <c r="AZ32" s="36"/>
      <c r="BA32" s="36"/>
      <c r="BB32" s="36"/>
      <c r="BC32" s="36"/>
      <c r="BD32" s="36"/>
      <c r="BE32" s="36"/>
      <c r="BF32" s="36"/>
      <c r="BG32" s="36"/>
      <c r="BH32" s="36"/>
      <c r="BI32" s="36"/>
      <c r="BJ32" s="36"/>
      <c r="BK32" s="36"/>
      <c r="BL32" s="36"/>
      <c r="BM32" s="36"/>
      <c r="BN32" s="33"/>
      <c r="BO32" s="33"/>
      <c r="BP32" s="34"/>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6"/>
      <c r="GQ32" s="36"/>
      <c r="GR32" s="36"/>
      <c r="GS32" s="36"/>
      <c r="GT32" s="36"/>
      <c r="GU32" s="36"/>
      <c r="GV32" s="36"/>
      <c r="GW32" s="36"/>
      <c r="GX32" s="36"/>
      <c r="GY32" s="36"/>
      <c r="GZ32" s="36"/>
      <c r="HA32" s="36"/>
      <c r="HB32" s="36"/>
      <c r="HC32" s="36"/>
      <c r="HD32" s="36"/>
      <c r="HE32" s="36"/>
      <c r="HF32" s="36"/>
      <c r="HG32" s="36"/>
      <c r="HH32" s="36"/>
      <c r="HI32" s="36"/>
      <c r="HJ32" s="36"/>
      <c r="HK32" s="36"/>
      <c r="HL32" s="36"/>
      <c r="HM32" s="36"/>
      <c r="HN32" s="36"/>
      <c r="HO32" s="36"/>
      <c r="HP32" s="36"/>
      <c r="HQ32" s="36"/>
      <c r="HR32" s="36"/>
      <c r="HS32" s="36"/>
      <c r="HT32" s="36"/>
      <c r="HU32" s="36"/>
      <c r="HV32" s="2"/>
      <c r="HW32" s="36"/>
      <c r="HX32" s="36"/>
    </row>
    <row r="33" spans="1:232" ht="42" customHeight="1">
      <c r="A33" s="36"/>
      <c r="B33" s="30"/>
      <c r="C33" s="2"/>
      <c r="D33" s="37"/>
      <c r="E33" s="36"/>
      <c r="F33" s="36"/>
      <c r="G33" s="36"/>
      <c r="H33" s="36"/>
      <c r="I33" s="36"/>
      <c r="J33" s="36"/>
      <c r="K33" s="2"/>
      <c r="L33" s="36"/>
      <c r="M33" s="36"/>
      <c r="N33" s="30"/>
      <c r="O33" s="52"/>
      <c r="P33" s="28"/>
      <c r="Q33" s="36"/>
      <c r="R33" s="36"/>
      <c r="S33" s="2"/>
      <c r="T33" s="2"/>
      <c r="U33" s="36"/>
      <c r="V33" s="36"/>
      <c r="W33" s="36"/>
      <c r="X33" s="36"/>
      <c r="Y33" s="36"/>
      <c r="Z33" s="36"/>
      <c r="AA33" s="36"/>
      <c r="AB33" s="36"/>
      <c r="AC33" s="36"/>
      <c r="AD33" s="36"/>
      <c r="AE33" s="36"/>
      <c r="AF33" s="39"/>
      <c r="AG33" s="36"/>
      <c r="AH33" s="36"/>
      <c r="AI33" s="36"/>
      <c r="AJ33" s="36"/>
      <c r="AK33" s="36"/>
      <c r="AL33" s="36"/>
      <c r="AM33" s="36"/>
      <c r="AN33" s="36"/>
      <c r="AO33" s="36"/>
      <c r="AP33" s="36"/>
      <c r="AQ33" s="36"/>
      <c r="AR33" s="36"/>
      <c r="AS33" s="36"/>
      <c r="AT33" s="36"/>
      <c r="AU33" s="36"/>
      <c r="AV33" s="36"/>
      <c r="AW33" s="36"/>
      <c r="AX33" s="40"/>
      <c r="AY33" s="36"/>
      <c r="AZ33" s="36"/>
      <c r="BA33" s="36"/>
      <c r="BB33" s="36"/>
      <c r="BC33" s="36"/>
      <c r="BD33" s="36"/>
      <c r="BE33" s="36"/>
      <c r="BF33" s="36"/>
      <c r="BG33" s="36"/>
      <c r="BH33" s="36"/>
      <c r="BI33" s="36"/>
      <c r="BJ33" s="36"/>
      <c r="BK33" s="36"/>
      <c r="BL33" s="36"/>
      <c r="BM33" s="36"/>
      <c r="BN33" s="33"/>
      <c r="BO33" s="33"/>
      <c r="BP33" s="34"/>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c r="HA33" s="36"/>
      <c r="HB33" s="36"/>
      <c r="HC33" s="36"/>
      <c r="HD33" s="36"/>
      <c r="HE33" s="36"/>
      <c r="HF33" s="36"/>
      <c r="HG33" s="36"/>
      <c r="HH33" s="36"/>
      <c r="HI33" s="36"/>
      <c r="HJ33" s="36"/>
      <c r="HK33" s="36"/>
      <c r="HL33" s="36"/>
      <c r="HM33" s="36"/>
      <c r="HN33" s="36"/>
      <c r="HO33" s="36"/>
      <c r="HP33" s="36"/>
      <c r="HQ33" s="36"/>
      <c r="HR33" s="36"/>
      <c r="HS33" s="36"/>
      <c r="HT33" s="36"/>
      <c r="HU33" s="36"/>
      <c r="HV33" s="2"/>
      <c r="HW33" s="36"/>
      <c r="HX33" s="36"/>
    </row>
    <row r="34" spans="1:232" ht="42" customHeight="1">
      <c r="A34" s="36"/>
      <c r="B34" s="30"/>
      <c r="C34" s="2"/>
      <c r="D34" s="37"/>
      <c r="E34" s="36"/>
      <c r="F34" s="36"/>
      <c r="G34" s="36"/>
      <c r="H34" s="36"/>
      <c r="I34" s="36"/>
      <c r="J34" s="36"/>
      <c r="K34" s="2"/>
      <c r="L34" s="2"/>
      <c r="M34" s="62"/>
      <c r="N34" s="30"/>
      <c r="O34" s="52"/>
      <c r="P34" s="28"/>
      <c r="Q34" s="36"/>
      <c r="R34" s="2"/>
      <c r="S34" s="2"/>
      <c r="T34" s="2"/>
      <c r="U34" s="36"/>
      <c r="V34" s="36"/>
      <c r="W34" s="36"/>
      <c r="X34" s="36"/>
      <c r="Y34" s="36"/>
      <c r="Z34" s="36"/>
      <c r="AA34" s="36"/>
      <c r="AB34" s="36"/>
      <c r="AC34" s="36"/>
      <c r="AD34" s="36"/>
      <c r="AE34" s="36"/>
      <c r="AF34" s="39"/>
      <c r="AG34" s="36"/>
      <c r="AH34" s="36"/>
      <c r="AI34" s="36"/>
      <c r="AJ34" s="36"/>
      <c r="AK34" s="36"/>
      <c r="AL34" s="36"/>
      <c r="AM34" s="36"/>
      <c r="AN34" s="36"/>
      <c r="AO34" s="36"/>
      <c r="AP34" s="36"/>
      <c r="AQ34" s="36"/>
      <c r="AR34" s="36"/>
      <c r="AS34" s="36"/>
      <c r="AT34" s="36"/>
      <c r="AU34" s="36"/>
      <c r="AV34" s="36"/>
      <c r="AW34" s="36"/>
      <c r="AX34" s="40"/>
      <c r="AY34" s="36"/>
      <c r="AZ34" s="36"/>
      <c r="BA34" s="36"/>
      <c r="BB34" s="36"/>
      <c r="BC34" s="36"/>
      <c r="BD34" s="36"/>
      <c r="BE34" s="36"/>
      <c r="BF34" s="36"/>
      <c r="BG34" s="36"/>
      <c r="BH34" s="36"/>
      <c r="BI34" s="36"/>
      <c r="BJ34" s="36"/>
      <c r="BK34" s="36"/>
      <c r="BL34" s="36"/>
      <c r="BM34" s="36"/>
      <c r="BN34" s="33"/>
      <c r="BO34" s="43"/>
      <c r="BP34" s="47"/>
      <c r="BQ34" s="36"/>
      <c r="BR34" s="42"/>
      <c r="BS34" s="36"/>
      <c r="BT34" s="42"/>
      <c r="BU34" s="42"/>
      <c r="BV34" s="2"/>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42"/>
      <c r="DR34" s="42"/>
      <c r="DS34" s="42"/>
      <c r="DT34" s="42"/>
      <c r="DU34" s="42"/>
      <c r="DV34" s="42"/>
      <c r="DW34" s="42"/>
      <c r="DX34" s="42"/>
      <c r="DY34" s="42"/>
      <c r="DZ34" s="42"/>
      <c r="EA34" s="42"/>
      <c r="EB34" s="42"/>
      <c r="EC34" s="42"/>
      <c r="ED34" s="42"/>
      <c r="EE34" s="42"/>
      <c r="EF34" s="42"/>
      <c r="EG34" s="42"/>
      <c r="EH34" s="42"/>
      <c r="EI34" s="42"/>
      <c r="EJ34" s="36"/>
      <c r="EK34" s="42"/>
      <c r="EL34" s="42"/>
      <c r="EM34" s="42"/>
      <c r="EN34" s="42"/>
      <c r="EO34" s="42"/>
      <c r="EP34" s="42"/>
      <c r="EQ34" s="42"/>
      <c r="ER34" s="42"/>
      <c r="ES34" s="42"/>
      <c r="ET34" s="42"/>
      <c r="EU34" s="42"/>
      <c r="EV34" s="42"/>
      <c r="EW34" s="42"/>
      <c r="EX34" s="42"/>
      <c r="EY34" s="42"/>
      <c r="EZ34" s="42"/>
      <c r="FA34" s="42"/>
      <c r="FB34" s="36"/>
      <c r="FC34" s="42"/>
      <c r="FD34" s="42"/>
      <c r="FE34" s="42"/>
      <c r="FF34" s="36"/>
      <c r="FG34" s="42"/>
      <c r="FH34" s="42"/>
      <c r="FI34" s="42"/>
      <c r="FJ34" s="36"/>
      <c r="FK34" s="36"/>
      <c r="FL34" s="36"/>
      <c r="FM34" s="36"/>
      <c r="FN34" s="36"/>
      <c r="FO34" s="36"/>
      <c r="FP34" s="36"/>
      <c r="FQ34" s="36"/>
      <c r="FR34" s="36"/>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36"/>
      <c r="HI34" s="42"/>
      <c r="HJ34" s="42"/>
      <c r="HK34" s="42"/>
      <c r="HL34" s="36"/>
      <c r="HM34" s="42"/>
      <c r="HN34" s="42"/>
      <c r="HO34" s="42"/>
      <c r="HP34" s="36"/>
      <c r="HQ34" s="42"/>
      <c r="HR34" s="42"/>
      <c r="HS34" s="36"/>
      <c r="HT34" s="36"/>
      <c r="HU34" s="42"/>
      <c r="HV34" s="2"/>
      <c r="HW34" s="36"/>
      <c r="HX34" s="36"/>
    </row>
    <row r="35" spans="1:232" ht="42" customHeight="1">
      <c r="A35" s="36"/>
      <c r="B35" s="30"/>
      <c r="C35" s="36"/>
      <c r="D35" s="37"/>
      <c r="E35" s="36"/>
      <c r="F35" s="36"/>
      <c r="G35" s="36"/>
      <c r="H35" s="36"/>
      <c r="I35" s="36"/>
      <c r="J35" s="36"/>
      <c r="K35" s="2"/>
      <c r="L35" s="2"/>
      <c r="M35" s="62"/>
      <c r="N35" s="30"/>
      <c r="O35" s="52"/>
      <c r="P35" s="28"/>
      <c r="Q35" s="36"/>
      <c r="R35" s="36"/>
      <c r="S35" s="2"/>
      <c r="T35" s="2"/>
      <c r="U35" s="36"/>
      <c r="V35" s="36"/>
      <c r="W35" s="36"/>
      <c r="X35" s="36"/>
      <c r="Y35" s="36"/>
      <c r="Z35" s="36"/>
      <c r="AA35" s="36"/>
      <c r="AB35" s="36"/>
      <c r="AC35" s="36"/>
      <c r="AD35" s="36"/>
      <c r="AE35" s="36"/>
      <c r="AF35" s="39"/>
      <c r="AG35" s="36"/>
      <c r="AH35" s="36"/>
      <c r="AI35" s="36"/>
      <c r="AJ35" s="36"/>
      <c r="AK35" s="36"/>
      <c r="AL35" s="36"/>
      <c r="AM35" s="36"/>
      <c r="AN35" s="36"/>
      <c r="AO35" s="36"/>
      <c r="AP35" s="36"/>
      <c r="AQ35" s="36"/>
      <c r="AR35" s="36"/>
      <c r="AS35" s="36"/>
      <c r="AT35" s="36"/>
      <c r="AU35" s="36"/>
      <c r="AV35" s="36"/>
      <c r="AW35" s="36"/>
      <c r="AX35" s="40"/>
      <c r="AY35" s="36"/>
      <c r="AZ35" s="36"/>
      <c r="BA35" s="36"/>
      <c r="BB35" s="36"/>
      <c r="BC35" s="36"/>
      <c r="BD35" s="36"/>
      <c r="BE35" s="36"/>
      <c r="BF35" s="36"/>
      <c r="BG35" s="36"/>
      <c r="BH35" s="36"/>
      <c r="BI35" s="36"/>
      <c r="BJ35" s="36"/>
      <c r="BK35" s="36"/>
      <c r="BL35" s="36"/>
      <c r="BM35" s="36"/>
      <c r="BN35" s="33"/>
      <c r="BO35" s="43"/>
      <c r="BP35" s="47"/>
      <c r="BQ35" s="36"/>
      <c r="BR35" s="52"/>
      <c r="BS35" s="28"/>
      <c r="BT35" s="2"/>
      <c r="BU35" s="36"/>
      <c r="BV35" s="54"/>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42"/>
      <c r="DR35" s="42"/>
      <c r="DS35" s="36"/>
      <c r="DT35" s="36"/>
      <c r="DU35" s="36"/>
      <c r="DV35" s="42"/>
      <c r="DW35" s="42"/>
      <c r="DX35" s="42"/>
      <c r="DY35" s="42"/>
      <c r="DZ35" s="42"/>
      <c r="EA35" s="42"/>
      <c r="EB35" s="42"/>
      <c r="EC35" s="42"/>
      <c r="ED35" s="42"/>
      <c r="EE35" s="42"/>
      <c r="EF35" s="42"/>
      <c r="EG35" s="42"/>
      <c r="EH35" s="42"/>
      <c r="EI35" s="42"/>
      <c r="EJ35" s="36"/>
      <c r="EK35" s="42"/>
      <c r="EL35" s="42"/>
      <c r="EM35" s="42"/>
      <c r="EN35" s="42"/>
      <c r="EO35" s="42"/>
      <c r="EP35" s="42"/>
      <c r="EQ35" s="42"/>
      <c r="ER35" s="42"/>
      <c r="ES35" s="42"/>
      <c r="ET35" s="42"/>
      <c r="EU35" s="42"/>
      <c r="EV35" s="42"/>
      <c r="EW35" s="42"/>
      <c r="EX35" s="42"/>
      <c r="EY35" s="42"/>
      <c r="EZ35" s="42"/>
      <c r="FA35" s="42"/>
      <c r="FB35" s="36"/>
      <c r="FC35" s="42"/>
      <c r="FD35" s="42"/>
      <c r="FE35" s="42"/>
      <c r="FF35" s="36"/>
      <c r="FG35" s="42"/>
      <c r="FH35" s="42"/>
      <c r="FI35" s="42"/>
      <c r="FJ35" s="36"/>
      <c r="FK35" s="36"/>
      <c r="FL35" s="36"/>
      <c r="FM35" s="36"/>
      <c r="FN35" s="36"/>
      <c r="FO35" s="36"/>
      <c r="FP35" s="36"/>
      <c r="FQ35" s="36"/>
      <c r="FR35" s="36"/>
      <c r="FS35" s="42"/>
      <c r="FT35" s="42"/>
      <c r="FU35" s="42"/>
      <c r="FV35" s="42"/>
      <c r="FW35" s="42"/>
      <c r="FX35" s="42"/>
      <c r="FY35" s="42"/>
      <c r="FZ35" s="42"/>
      <c r="GA35" s="42"/>
      <c r="GB35" s="42"/>
      <c r="GC35" s="42"/>
      <c r="GD35" s="42"/>
      <c r="GE35" s="42"/>
      <c r="GF35" s="42"/>
      <c r="GG35" s="42"/>
      <c r="GH35" s="42"/>
      <c r="GI35" s="42"/>
      <c r="GJ35" s="42"/>
      <c r="GK35" s="42"/>
      <c r="GL35" s="42"/>
      <c r="GM35" s="42"/>
      <c r="GN35" s="42"/>
      <c r="GO35" s="42"/>
      <c r="GP35" s="42"/>
      <c r="GQ35" s="42"/>
      <c r="GR35" s="42"/>
      <c r="GS35" s="42"/>
      <c r="GT35" s="42"/>
      <c r="GU35" s="42"/>
      <c r="GV35" s="42"/>
      <c r="GW35" s="42"/>
      <c r="GX35" s="42"/>
      <c r="GY35" s="42"/>
      <c r="GZ35" s="42"/>
      <c r="HA35" s="42"/>
      <c r="HB35" s="42"/>
      <c r="HC35" s="42"/>
      <c r="HD35" s="42"/>
      <c r="HE35" s="42"/>
      <c r="HF35" s="42"/>
      <c r="HG35" s="42"/>
      <c r="HH35" s="36"/>
      <c r="HI35" s="42"/>
      <c r="HJ35" s="42"/>
      <c r="HK35" s="42"/>
      <c r="HL35" s="36"/>
      <c r="HM35" s="42"/>
      <c r="HN35" s="42"/>
      <c r="HO35" s="42"/>
      <c r="HP35" s="36"/>
      <c r="HQ35" s="42"/>
      <c r="HR35" s="42"/>
      <c r="HS35" s="36"/>
      <c r="HT35" s="36"/>
      <c r="HU35" s="42"/>
      <c r="HV35" s="2"/>
      <c r="HW35" s="36"/>
      <c r="HX35" s="36"/>
    </row>
    <row r="36" spans="1:232" ht="42" customHeight="1">
      <c r="A36" s="36"/>
      <c r="B36" s="30"/>
      <c r="C36" s="2"/>
      <c r="D36" s="37"/>
      <c r="E36" s="36"/>
      <c r="F36" s="36"/>
      <c r="G36" s="36"/>
      <c r="H36" s="2"/>
      <c r="I36" s="36"/>
      <c r="J36" s="36"/>
      <c r="K36" s="2"/>
      <c r="L36" s="36"/>
      <c r="M36" s="42"/>
      <c r="N36" s="30"/>
      <c r="O36" s="52"/>
      <c r="P36" s="36"/>
      <c r="Q36" s="2"/>
      <c r="R36" s="36"/>
      <c r="S36" s="2"/>
      <c r="T36" s="2"/>
      <c r="U36" s="36"/>
      <c r="V36" s="36"/>
      <c r="W36" s="36"/>
      <c r="X36" s="36"/>
      <c r="Y36" s="36"/>
      <c r="Z36" s="36"/>
      <c r="AA36" s="36"/>
      <c r="AB36" s="36"/>
      <c r="AC36" s="36"/>
      <c r="AD36" s="36"/>
      <c r="AE36" s="36"/>
      <c r="AF36" s="39"/>
      <c r="AG36" s="36"/>
      <c r="AH36" s="36"/>
      <c r="AI36" s="36"/>
      <c r="AJ36" s="36"/>
      <c r="AK36" s="36"/>
      <c r="AL36" s="36"/>
      <c r="AM36" s="36"/>
      <c r="AN36" s="36"/>
      <c r="AO36" s="36"/>
      <c r="AP36" s="36"/>
      <c r="AQ36" s="36"/>
      <c r="AR36" s="36"/>
      <c r="AS36" s="36"/>
      <c r="AT36" s="36"/>
      <c r="AU36" s="36"/>
      <c r="AV36" s="36"/>
      <c r="AW36" s="36"/>
      <c r="AX36" s="40"/>
      <c r="AY36" s="36"/>
      <c r="AZ36" s="36"/>
      <c r="BA36" s="36"/>
      <c r="BB36" s="36"/>
      <c r="BC36" s="36"/>
      <c r="BD36" s="36"/>
      <c r="BE36" s="36"/>
      <c r="BF36" s="36"/>
      <c r="BG36" s="36"/>
      <c r="BH36" s="36"/>
      <c r="BI36" s="36"/>
      <c r="BJ36" s="36"/>
      <c r="BK36" s="36"/>
      <c r="BL36" s="36"/>
      <c r="BM36" s="36"/>
      <c r="BN36" s="33"/>
      <c r="BO36" s="43"/>
      <c r="BP36" s="47"/>
      <c r="BQ36" s="42"/>
      <c r="BR36" s="42"/>
      <c r="BS36" s="42"/>
      <c r="BT36" s="42"/>
      <c r="BU36" s="42"/>
      <c r="BV36" s="42"/>
      <c r="BW36" s="42"/>
      <c r="BX36" s="42"/>
      <c r="BY36" s="42"/>
      <c r="BZ36" s="42"/>
      <c r="CA36" s="42"/>
      <c r="CB36" s="42"/>
      <c r="CC36" s="42"/>
      <c r="CD36" s="42"/>
      <c r="CE36" s="42"/>
      <c r="CF36" s="42"/>
      <c r="CG36" s="42"/>
      <c r="CH36" s="36"/>
      <c r="CI36" s="42"/>
      <c r="CJ36" s="42"/>
      <c r="CK36" s="42"/>
      <c r="CL36" s="42"/>
      <c r="CM36" s="42"/>
      <c r="CN36" s="42"/>
      <c r="CO36" s="42"/>
      <c r="CP36" s="42"/>
      <c r="CQ36" s="42"/>
      <c r="CR36" s="42"/>
      <c r="CS36" s="42"/>
      <c r="CT36" s="42"/>
      <c r="CU36" s="42"/>
      <c r="CV36" s="42"/>
      <c r="CW36" s="42"/>
      <c r="CX36" s="42"/>
      <c r="CY36" s="42"/>
      <c r="CZ36" s="36"/>
      <c r="DA36" s="36"/>
      <c r="DB36" s="36"/>
      <c r="DC36" s="36"/>
      <c r="DD36" s="36"/>
      <c r="DE36" s="36"/>
      <c r="DF36" s="36"/>
      <c r="DG36" s="36"/>
      <c r="DH36" s="36"/>
      <c r="DI36" s="36"/>
      <c r="DJ36" s="36"/>
      <c r="DK36" s="36"/>
      <c r="DL36" s="36"/>
      <c r="DM36" s="36"/>
      <c r="DN36" s="36"/>
      <c r="DO36" s="36"/>
      <c r="DP36" s="36"/>
      <c r="DQ36" s="42"/>
      <c r="DR36" s="42"/>
      <c r="DS36" s="42"/>
      <c r="DT36" s="42"/>
      <c r="DU36" s="42"/>
      <c r="DV36" s="42"/>
      <c r="DW36" s="42"/>
      <c r="DX36" s="42"/>
      <c r="DY36" s="42"/>
      <c r="DZ36" s="42"/>
      <c r="EA36" s="42"/>
      <c r="EB36" s="42"/>
      <c r="EC36" s="42"/>
      <c r="ED36" s="42"/>
      <c r="EE36" s="42"/>
      <c r="EF36" s="42"/>
      <c r="EG36" s="42"/>
      <c r="EH36" s="42"/>
      <c r="EI36" s="42"/>
      <c r="EJ36" s="36"/>
      <c r="EK36" s="42"/>
      <c r="EL36" s="42"/>
      <c r="EM36" s="42"/>
      <c r="EN36" s="42"/>
      <c r="EO36" s="42"/>
      <c r="EP36" s="42"/>
      <c r="EQ36" s="42"/>
      <c r="ER36" s="42"/>
      <c r="ES36" s="42"/>
      <c r="ET36" s="42"/>
      <c r="EU36" s="42"/>
      <c r="EV36" s="42"/>
      <c r="EW36" s="42"/>
      <c r="EX36" s="42"/>
      <c r="EY36" s="42"/>
      <c r="EZ36" s="42"/>
      <c r="FA36" s="42"/>
      <c r="FB36" s="36"/>
      <c r="FC36" s="42"/>
      <c r="FD36" s="42"/>
      <c r="FE36" s="42"/>
      <c r="FF36" s="42"/>
      <c r="FG36" s="42"/>
      <c r="FH36" s="42"/>
      <c r="FI36" s="42"/>
      <c r="FJ36" s="36"/>
      <c r="FK36" s="36"/>
      <c r="FL36" s="36"/>
      <c r="FM36" s="36"/>
      <c r="FN36" s="36"/>
      <c r="FO36" s="36"/>
      <c r="FP36" s="36"/>
      <c r="FQ36" s="36"/>
      <c r="FR36" s="36"/>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36"/>
      <c r="HI36" s="42"/>
      <c r="HJ36" s="42"/>
      <c r="HK36" s="42"/>
      <c r="HL36" s="36"/>
      <c r="HM36" s="42"/>
      <c r="HN36" s="42"/>
      <c r="HO36" s="42"/>
      <c r="HP36" s="36"/>
      <c r="HQ36" s="42"/>
      <c r="HR36" s="42"/>
      <c r="HS36" s="36"/>
      <c r="HT36" s="36"/>
      <c r="HU36" s="42"/>
      <c r="HV36" s="2"/>
      <c r="HW36" s="42"/>
      <c r="HX36" s="42"/>
    </row>
    <row r="37" spans="1:232" ht="42" customHeight="1">
      <c r="A37" s="36"/>
      <c r="B37" s="30"/>
      <c r="C37" s="36"/>
      <c r="D37" s="37"/>
      <c r="E37" s="36"/>
      <c r="F37" s="36"/>
      <c r="G37" s="36"/>
      <c r="H37" s="36"/>
      <c r="I37" s="36"/>
      <c r="J37" s="36"/>
      <c r="K37" s="2"/>
      <c r="L37" s="36"/>
      <c r="M37" s="42"/>
      <c r="N37" s="30"/>
      <c r="O37" s="52"/>
      <c r="P37" s="36"/>
      <c r="Q37" s="36"/>
      <c r="R37" s="36"/>
      <c r="S37" s="2"/>
      <c r="T37" s="2"/>
      <c r="U37" s="36"/>
      <c r="V37" s="36"/>
      <c r="W37" s="36"/>
      <c r="X37" s="36"/>
      <c r="Y37" s="36"/>
      <c r="Z37" s="36"/>
      <c r="AA37" s="36"/>
      <c r="AB37" s="36"/>
      <c r="AC37" s="36"/>
      <c r="AD37" s="36"/>
      <c r="AE37" s="36"/>
      <c r="AF37" s="39"/>
      <c r="AG37" s="36"/>
      <c r="AH37" s="36"/>
      <c r="AI37" s="36"/>
      <c r="AJ37" s="36"/>
      <c r="AK37" s="36"/>
      <c r="AL37" s="36"/>
      <c r="AM37" s="36"/>
      <c r="AN37" s="36"/>
      <c r="AO37" s="36"/>
      <c r="AP37" s="36"/>
      <c r="AQ37" s="36"/>
      <c r="AR37" s="36"/>
      <c r="AS37" s="36"/>
      <c r="AT37" s="36"/>
      <c r="AU37" s="36"/>
      <c r="AV37" s="36"/>
      <c r="AW37" s="36"/>
      <c r="AX37" s="40"/>
      <c r="AY37" s="36"/>
      <c r="AZ37" s="36"/>
      <c r="BA37" s="36"/>
      <c r="BB37" s="36"/>
      <c r="BC37" s="36"/>
      <c r="BD37" s="36"/>
      <c r="BE37" s="36"/>
      <c r="BF37" s="36"/>
      <c r="BG37" s="36"/>
      <c r="BH37" s="36"/>
      <c r="BI37" s="36"/>
      <c r="BJ37" s="36"/>
      <c r="BK37" s="36"/>
      <c r="BL37" s="36"/>
      <c r="BM37" s="36"/>
      <c r="BN37" s="33"/>
      <c r="BO37" s="43"/>
      <c r="BP37" s="47"/>
      <c r="BQ37" s="42"/>
      <c r="BR37" s="42"/>
      <c r="BS37" s="42"/>
      <c r="BT37" s="42"/>
      <c r="BU37" s="42"/>
      <c r="BV37" s="42"/>
      <c r="BW37" s="42"/>
      <c r="BX37" s="42"/>
      <c r="BY37" s="42"/>
      <c r="BZ37" s="42"/>
      <c r="CA37" s="42"/>
      <c r="CB37" s="42"/>
      <c r="CC37" s="42"/>
      <c r="CD37" s="42"/>
      <c r="CE37" s="42"/>
      <c r="CF37" s="42"/>
      <c r="CG37" s="42"/>
      <c r="CH37" s="36"/>
      <c r="CI37" s="42"/>
      <c r="CJ37" s="42"/>
      <c r="CK37" s="42"/>
      <c r="CL37" s="42"/>
      <c r="CM37" s="42"/>
      <c r="CN37" s="42"/>
      <c r="CO37" s="42"/>
      <c r="CP37" s="42"/>
      <c r="CQ37" s="42"/>
      <c r="CR37" s="42"/>
      <c r="CS37" s="42"/>
      <c r="CT37" s="42"/>
      <c r="CU37" s="42"/>
      <c r="CV37" s="42"/>
      <c r="CW37" s="42"/>
      <c r="CX37" s="42"/>
      <c r="CY37" s="42"/>
      <c r="CZ37" s="36"/>
      <c r="DA37" s="36"/>
      <c r="DB37" s="36"/>
      <c r="DC37" s="36"/>
      <c r="DD37" s="36"/>
      <c r="DE37" s="36"/>
      <c r="DF37" s="36"/>
      <c r="DG37" s="36"/>
      <c r="DH37" s="36"/>
      <c r="DI37" s="36"/>
      <c r="DJ37" s="36"/>
      <c r="DK37" s="36"/>
      <c r="DL37" s="36"/>
      <c r="DM37" s="36"/>
      <c r="DN37" s="36"/>
      <c r="DO37" s="36"/>
      <c r="DP37" s="36"/>
      <c r="DQ37" s="42"/>
      <c r="DR37" s="42"/>
      <c r="DS37" s="42"/>
      <c r="DT37" s="42"/>
      <c r="DU37" s="42"/>
      <c r="DV37" s="42"/>
      <c r="DW37" s="42"/>
      <c r="DX37" s="42"/>
      <c r="DY37" s="42"/>
      <c r="DZ37" s="42"/>
      <c r="EA37" s="42"/>
      <c r="EB37" s="42"/>
      <c r="EC37" s="42"/>
      <c r="ED37" s="42"/>
      <c r="EE37" s="42"/>
      <c r="EF37" s="42"/>
      <c r="EG37" s="42"/>
      <c r="EH37" s="42"/>
      <c r="EI37" s="42"/>
      <c r="EJ37" s="36"/>
      <c r="EK37" s="42"/>
      <c r="EL37" s="42"/>
      <c r="EM37" s="42"/>
      <c r="EN37" s="42"/>
      <c r="EO37" s="42"/>
      <c r="EP37" s="42"/>
      <c r="EQ37" s="42"/>
      <c r="ER37" s="42"/>
      <c r="ES37" s="42"/>
      <c r="ET37" s="42"/>
      <c r="EU37" s="42"/>
      <c r="EV37" s="42"/>
      <c r="EW37" s="42"/>
      <c r="EX37" s="42"/>
      <c r="EY37" s="42"/>
      <c r="EZ37" s="42"/>
      <c r="FA37" s="42"/>
      <c r="FB37" s="36"/>
      <c r="FC37" s="42"/>
      <c r="FD37" s="42"/>
      <c r="FE37" s="42"/>
      <c r="FF37" s="42"/>
      <c r="FG37" s="42"/>
      <c r="FH37" s="42"/>
      <c r="FI37" s="42"/>
      <c r="FJ37" s="36"/>
      <c r="FK37" s="36"/>
      <c r="FL37" s="36"/>
      <c r="FM37" s="36"/>
      <c r="FN37" s="36"/>
      <c r="FO37" s="36"/>
      <c r="FP37" s="36"/>
      <c r="FQ37" s="36"/>
      <c r="FR37" s="36"/>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36"/>
      <c r="HI37" s="42"/>
      <c r="HJ37" s="42"/>
      <c r="HK37" s="42"/>
      <c r="HL37" s="36"/>
      <c r="HM37" s="42"/>
      <c r="HN37" s="42"/>
      <c r="HO37" s="42"/>
      <c r="HP37" s="36"/>
      <c r="HQ37" s="42"/>
      <c r="HR37" s="42"/>
      <c r="HS37" s="36"/>
      <c r="HT37" s="36"/>
      <c r="HU37" s="42"/>
      <c r="HV37" s="2"/>
      <c r="HW37" s="42"/>
      <c r="HX37" s="42"/>
    </row>
    <row r="38" spans="1:232" ht="42" customHeight="1">
      <c r="A38" s="36"/>
      <c r="B38" s="30"/>
      <c r="C38" s="6"/>
      <c r="D38" s="37"/>
      <c r="E38" s="6"/>
      <c r="F38" s="6"/>
      <c r="G38" s="6"/>
      <c r="H38" s="6"/>
      <c r="I38" s="4"/>
      <c r="J38" s="4"/>
      <c r="K38" s="6"/>
      <c r="L38" s="4"/>
      <c r="N38" s="7"/>
      <c r="O38" s="27"/>
      <c r="P38" s="6"/>
      <c r="Q38" s="36"/>
      <c r="R38" s="4"/>
      <c r="S38" s="4"/>
      <c r="T38" s="4"/>
      <c r="U38" s="6"/>
      <c r="V38" s="6"/>
      <c r="W38" s="6"/>
      <c r="X38" s="6"/>
      <c r="Y38" s="6"/>
      <c r="Z38" s="6"/>
      <c r="AA38" s="6"/>
      <c r="AB38" s="6"/>
      <c r="AC38" s="6"/>
      <c r="AD38" s="6"/>
      <c r="AE38" s="6"/>
      <c r="AF38" s="39"/>
      <c r="AG38" s="6"/>
      <c r="AH38" s="6"/>
      <c r="AI38" s="6"/>
      <c r="AJ38" s="6"/>
      <c r="AK38" s="6"/>
      <c r="AL38" s="6"/>
      <c r="AM38" s="6"/>
      <c r="AN38" s="6"/>
      <c r="AO38" s="6"/>
      <c r="AP38" s="6"/>
      <c r="AQ38" s="6"/>
      <c r="AR38" s="6"/>
      <c r="AS38" s="6"/>
      <c r="AT38" s="6"/>
      <c r="AU38" s="6"/>
      <c r="AV38" s="6"/>
      <c r="AW38" s="6"/>
      <c r="AX38" s="40"/>
      <c r="BB38" s="36"/>
      <c r="BF38" s="36"/>
      <c r="BJ38" s="36"/>
      <c r="BM38" s="67"/>
      <c r="BN38" s="33"/>
      <c r="CH38" s="36"/>
      <c r="CZ38" s="36"/>
      <c r="DD38" s="36"/>
      <c r="DH38" s="36"/>
      <c r="DL38" s="36"/>
      <c r="DO38" s="36"/>
      <c r="DP38" s="36"/>
      <c r="EJ38" s="36"/>
      <c r="FB38" s="36"/>
      <c r="FJ38" s="36"/>
      <c r="FK38" s="6"/>
      <c r="FL38" s="6"/>
      <c r="FM38" s="6"/>
      <c r="FN38" s="36"/>
      <c r="FO38" s="6"/>
      <c r="FP38" s="6"/>
      <c r="FQ38" s="36"/>
      <c r="FR38" s="36"/>
      <c r="HL38" s="36"/>
      <c r="HP38" s="36"/>
      <c r="HT38" s="36"/>
    </row>
    <row r="39" spans="1:232" ht="42" customHeight="1">
      <c r="A39" s="6"/>
      <c r="B39" s="30"/>
      <c r="C39" s="4"/>
      <c r="D39" s="37"/>
      <c r="E39" s="6"/>
      <c r="F39" s="6"/>
      <c r="G39" s="6"/>
      <c r="H39" s="6"/>
      <c r="I39" s="4"/>
      <c r="J39" s="6"/>
      <c r="K39" s="4"/>
      <c r="L39" s="6"/>
      <c r="N39" s="7"/>
      <c r="O39" s="27"/>
      <c r="P39" s="6"/>
      <c r="Q39" s="36"/>
      <c r="R39" s="6"/>
      <c r="S39" s="4"/>
      <c r="T39" s="4"/>
      <c r="U39" s="6"/>
      <c r="V39" s="6"/>
      <c r="W39" s="6"/>
      <c r="X39" s="6"/>
      <c r="Y39" s="6"/>
      <c r="Z39" s="6"/>
      <c r="AA39" s="6"/>
      <c r="AB39" s="6"/>
      <c r="AC39" s="6"/>
      <c r="AD39" s="6"/>
      <c r="AE39" s="6"/>
      <c r="AF39" s="39"/>
      <c r="AG39" s="6"/>
      <c r="AH39" s="6"/>
      <c r="AI39" s="6"/>
      <c r="AJ39" s="6"/>
      <c r="AK39" s="6"/>
      <c r="AL39" s="6"/>
      <c r="AM39" s="6"/>
      <c r="AN39" s="6"/>
      <c r="AO39" s="6"/>
      <c r="AP39" s="6"/>
      <c r="AQ39" s="6"/>
      <c r="AR39" s="6"/>
      <c r="AS39" s="6"/>
      <c r="AT39" s="6"/>
      <c r="AU39" s="6"/>
      <c r="AV39" s="6"/>
      <c r="AW39" s="6"/>
      <c r="AX39" s="40"/>
      <c r="BB39" s="36"/>
      <c r="BF39" s="36"/>
      <c r="BJ39" s="36"/>
      <c r="BM39" s="36"/>
      <c r="BN39" s="33"/>
      <c r="CH39" s="36"/>
      <c r="CZ39" s="36"/>
      <c r="DD39" s="36"/>
      <c r="DH39" s="36"/>
      <c r="DL39" s="36"/>
      <c r="DO39" s="36"/>
      <c r="DP39" s="36"/>
      <c r="EJ39" s="36"/>
      <c r="FB39" s="36"/>
    </row>
    <row r="40" spans="1:232" ht="42" customHeight="1">
      <c r="A40" s="6"/>
      <c r="B40" s="30"/>
      <c r="C40" s="6"/>
      <c r="D40" s="65"/>
      <c r="E40" s="6"/>
      <c r="F40" s="6"/>
      <c r="G40" s="6"/>
      <c r="H40" s="6"/>
      <c r="I40" s="6"/>
      <c r="J40" s="4"/>
      <c r="K40" s="4"/>
      <c r="L40" s="6"/>
      <c r="M40" s="6"/>
      <c r="N40" s="7"/>
      <c r="O40" s="27"/>
      <c r="P40" s="6"/>
      <c r="Q40" s="36"/>
      <c r="R40" s="36"/>
      <c r="S40" s="54"/>
      <c r="T40" s="54"/>
      <c r="U40" s="6"/>
      <c r="V40" s="6"/>
      <c r="W40" s="6"/>
      <c r="X40" s="6"/>
      <c r="Y40" s="6"/>
      <c r="Z40" s="6"/>
      <c r="AA40" s="6"/>
      <c r="AB40" s="6"/>
      <c r="AC40" s="6"/>
      <c r="AD40" s="6"/>
      <c r="AE40" s="6"/>
      <c r="AF40" s="39"/>
      <c r="AG40" s="6"/>
      <c r="AH40" s="6"/>
      <c r="AI40" s="6"/>
      <c r="AJ40" s="6"/>
      <c r="AK40" s="6"/>
      <c r="AL40" s="6"/>
      <c r="AM40" s="6"/>
      <c r="AN40" s="6"/>
      <c r="AO40" s="6"/>
      <c r="AP40" s="6"/>
      <c r="AQ40" s="6"/>
      <c r="AR40" s="6"/>
      <c r="AS40" s="6"/>
      <c r="AT40" s="6"/>
      <c r="AU40" s="6"/>
      <c r="AV40" s="6"/>
      <c r="AW40" s="6"/>
      <c r="AX40" s="40"/>
      <c r="BB40" s="36"/>
      <c r="BF40" s="36"/>
      <c r="BJ40" s="36"/>
      <c r="BM40" s="36"/>
      <c r="BN40" s="33"/>
      <c r="BQ40" s="6"/>
      <c r="CH40" s="36"/>
      <c r="CZ40" s="36"/>
      <c r="DL40" s="36"/>
      <c r="DO40" s="36"/>
      <c r="DP40" s="36"/>
      <c r="DS40" s="6"/>
      <c r="DT40" s="27"/>
      <c r="DU40" s="66"/>
      <c r="DX40" s="4"/>
      <c r="DY40" s="68"/>
      <c r="DZ40" s="68"/>
      <c r="EA40" s="68"/>
      <c r="EB40" s="68"/>
      <c r="EC40" s="68"/>
      <c r="ED40" s="68"/>
      <c r="EE40" s="68"/>
      <c r="EF40" s="68"/>
      <c r="EG40" s="68"/>
      <c r="EH40" s="68"/>
      <c r="EI40" s="68"/>
      <c r="EJ40" s="36"/>
      <c r="EK40" s="68"/>
      <c r="EL40" s="68"/>
      <c r="EM40" s="68"/>
      <c r="EN40" s="68"/>
      <c r="EO40" s="68"/>
      <c r="EP40" s="68"/>
      <c r="EQ40" s="68"/>
      <c r="ER40" s="68"/>
      <c r="ES40" s="68"/>
      <c r="ET40" s="68"/>
      <c r="EU40" s="68"/>
      <c r="EV40" s="68"/>
      <c r="EW40" s="68"/>
      <c r="EX40" s="68"/>
      <c r="EY40" s="68"/>
      <c r="EZ40" s="68"/>
      <c r="FA40" s="68"/>
      <c r="FB40" s="36"/>
    </row>
    <row r="41" spans="1:232" ht="42" customHeight="1">
      <c r="A41" s="6"/>
      <c r="B41" s="30"/>
      <c r="C41" s="6"/>
      <c r="D41" s="65"/>
      <c r="E41" s="6"/>
      <c r="F41" s="6"/>
      <c r="G41" s="6"/>
      <c r="H41" s="4"/>
      <c r="I41" s="2"/>
      <c r="J41" s="2"/>
      <c r="K41" s="4"/>
      <c r="L41" s="2"/>
      <c r="N41" s="7"/>
      <c r="O41" s="27"/>
      <c r="P41" s="6"/>
      <c r="Q41" s="36"/>
      <c r="R41" s="36"/>
      <c r="S41" s="4"/>
      <c r="T41" s="4"/>
      <c r="U41" s="6"/>
      <c r="V41" s="6"/>
      <c r="W41" s="6"/>
      <c r="X41" s="6"/>
      <c r="Y41" s="6"/>
      <c r="Z41" s="6"/>
      <c r="AA41" s="6"/>
      <c r="AB41" s="6"/>
      <c r="AC41" s="6"/>
      <c r="AD41" s="6"/>
      <c r="AE41" s="6"/>
      <c r="AF41" s="39"/>
      <c r="AG41" s="6"/>
      <c r="AH41" s="6"/>
      <c r="AI41" s="6"/>
      <c r="AJ41" s="6"/>
      <c r="AK41" s="6"/>
      <c r="AL41" s="6"/>
      <c r="AM41" s="6"/>
      <c r="AN41" s="6"/>
      <c r="AO41" s="6"/>
      <c r="AP41" s="6"/>
      <c r="AQ41" s="6"/>
      <c r="AR41" s="6"/>
      <c r="AS41" s="6"/>
      <c r="AT41" s="6"/>
      <c r="AU41" s="6"/>
      <c r="AV41" s="6"/>
      <c r="AW41" s="6"/>
      <c r="AX41" s="40"/>
      <c r="BB41" s="36"/>
      <c r="BF41" s="36"/>
      <c r="BJ41" s="36"/>
      <c r="BM41" s="36"/>
      <c r="BN41" s="33"/>
      <c r="BP41" s="18"/>
      <c r="CH41" s="36"/>
      <c r="CZ41" s="36"/>
      <c r="DL41" s="36"/>
      <c r="DO41" s="36"/>
      <c r="DP41" s="36"/>
      <c r="EJ41" s="36"/>
      <c r="FB41" s="36"/>
    </row>
    <row r="42" spans="1:232" ht="42" customHeight="1">
      <c r="A42" s="6"/>
      <c r="B42" s="30"/>
      <c r="C42" s="4"/>
      <c r="D42" s="65"/>
      <c r="E42" s="6"/>
      <c r="F42" s="6"/>
      <c r="G42" s="6"/>
      <c r="H42" s="6"/>
      <c r="I42" s="6"/>
      <c r="J42" s="6"/>
      <c r="K42" s="4"/>
      <c r="L42" s="6"/>
      <c r="M42" s="6"/>
      <c r="N42" s="7"/>
      <c r="O42" s="27"/>
      <c r="P42" s="6"/>
      <c r="Q42" s="36"/>
      <c r="R42" s="6"/>
      <c r="S42" s="6"/>
      <c r="T42" s="6"/>
      <c r="U42" s="6"/>
      <c r="V42" s="6"/>
      <c r="W42" s="6"/>
      <c r="X42" s="6"/>
      <c r="Y42" s="6"/>
      <c r="Z42" s="6"/>
      <c r="AA42" s="6"/>
      <c r="AB42" s="6"/>
      <c r="AC42" s="6"/>
      <c r="AD42" s="6"/>
      <c r="AE42" s="6"/>
      <c r="AF42" s="39"/>
      <c r="AG42" s="6"/>
      <c r="AH42" s="6"/>
      <c r="AI42" s="6"/>
      <c r="AJ42" s="6"/>
      <c r="AK42" s="6"/>
      <c r="AL42" s="6"/>
      <c r="AM42" s="6"/>
      <c r="AN42" s="6"/>
      <c r="AO42" s="6"/>
      <c r="AP42" s="6"/>
      <c r="AQ42" s="6"/>
      <c r="AR42" s="6"/>
      <c r="AS42" s="6"/>
      <c r="AT42" s="6"/>
      <c r="AU42" s="6"/>
      <c r="AV42" s="6"/>
      <c r="AW42" s="6"/>
      <c r="AX42" s="40"/>
      <c r="BB42" s="36"/>
      <c r="BF42" s="36"/>
      <c r="BJ42" s="36"/>
      <c r="BM42" s="36"/>
      <c r="BN42" s="33"/>
      <c r="BO42" s="15"/>
      <c r="BP42" s="18"/>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36"/>
      <c r="DL42" s="36"/>
      <c r="DO42" s="36"/>
      <c r="DP42" s="36"/>
      <c r="DQ42" s="6"/>
      <c r="DR42" s="6"/>
      <c r="DS42" s="6"/>
      <c r="DT42" s="6"/>
      <c r="DU42" s="6"/>
      <c r="DV42" s="6"/>
      <c r="DW42" s="6"/>
      <c r="DX42" s="6"/>
      <c r="DY42" s="6"/>
      <c r="DZ42" s="6"/>
      <c r="EA42" s="6"/>
      <c r="EB42" s="6"/>
      <c r="EC42" s="6"/>
      <c r="ED42" s="6"/>
      <c r="EE42" s="6"/>
      <c r="EF42" s="6"/>
      <c r="EG42" s="6"/>
      <c r="EH42" s="6"/>
      <c r="EI42" s="6"/>
      <c r="EJ42" s="36"/>
      <c r="EK42" s="6"/>
      <c r="EL42" s="6"/>
      <c r="EM42" s="6"/>
      <c r="EN42" s="6"/>
      <c r="EO42" s="6"/>
      <c r="EP42" s="6"/>
      <c r="EQ42" s="6"/>
      <c r="ER42" s="6"/>
      <c r="ES42" s="6"/>
      <c r="ET42" s="6"/>
      <c r="EU42" s="6"/>
      <c r="EV42" s="6"/>
      <c r="EW42" s="6"/>
      <c r="EX42" s="6"/>
      <c r="EY42" s="6"/>
      <c r="EZ42" s="6"/>
      <c r="FA42" s="6"/>
      <c r="FB42" s="3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W42" s="6"/>
      <c r="HX42" s="6"/>
    </row>
    <row r="43" spans="1:232" ht="42" customHeight="1">
      <c r="A43" s="6"/>
      <c r="B43" s="7"/>
      <c r="C43" s="4"/>
      <c r="D43" s="65"/>
      <c r="E43" s="6"/>
      <c r="F43" s="6"/>
      <c r="G43" s="6"/>
      <c r="H43" s="6"/>
      <c r="I43" s="6"/>
      <c r="J43" s="6"/>
      <c r="K43" s="4"/>
      <c r="L43" s="6"/>
      <c r="M43" s="62"/>
      <c r="N43" s="7"/>
      <c r="O43" s="27"/>
      <c r="P43" s="66"/>
      <c r="S43" s="4"/>
      <c r="T43" s="4"/>
      <c r="U43" s="6"/>
      <c r="V43" s="6"/>
      <c r="W43" s="6"/>
      <c r="X43" s="6"/>
      <c r="Y43" s="6"/>
      <c r="Z43" s="6"/>
      <c r="AA43" s="6"/>
      <c r="AB43" s="6"/>
      <c r="AC43" s="6"/>
      <c r="AD43" s="6"/>
      <c r="AE43" s="6"/>
      <c r="AF43" s="39"/>
      <c r="AG43" s="6"/>
      <c r="AH43" s="6"/>
      <c r="AI43" s="6"/>
      <c r="AJ43" s="6"/>
      <c r="AK43" s="6"/>
      <c r="AL43" s="6"/>
      <c r="AM43" s="6"/>
      <c r="AN43" s="6"/>
      <c r="AO43" s="6"/>
      <c r="AP43" s="6"/>
      <c r="AQ43" s="6"/>
      <c r="AR43" s="6"/>
      <c r="AS43" s="6"/>
      <c r="AT43" s="6"/>
      <c r="AU43" s="6"/>
      <c r="AV43" s="6"/>
      <c r="AW43" s="6"/>
      <c r="AX43" s="40"/>
      <c r="BB43" s="36"/>
      <c r="BF43" s="36"/>
      <c r="BJ43" s="36"/>
      <c r="BM43" s="36"/>
      <c r="BN43" s="33"/>
      <c r="CZ43" s="36"/>
      <c r="DO43" s="36"/>
      <c r="DP43" s="36"/>
    </row>
    <row r="44" spans="1:232" ht="42" customHeight="1">
      <c r="A44" s="6"/>
      <c r="B44" s="7"/>
      <c r="C44" s="6"/>
      <c r="D44" s="65"/>
      <c r="E44" s="6"/>
      <c r="F44" s="6"/>
      <c r="G44" s="6"/>
      <c r="H44" s="4"/>
      <c r="I44" s="6"/>
      <c r="J44" s="6"/>
      <c r="K44" s="6"/>
      <c r="L44" s="6"/>
      <c r="M44" s="6"/>
      <c r="N44" s="7"/>
      <c r="O44" s="27"/>
      <c r="P44" s="66"/>
      <c r="Q44" s="66"/>
      <c r="R44" s="6"/>
      <c r="S44" s="4"/>
      <c r="T44" s="4"/>
      <c r="U44" s="6"/>
      <c r="V44" s="6"/>
      <c r="W44" s="6"/>
      <c r="X44" s="6"/>
      <c r="Y44" s="6"/>
      <c r="Z44" s="6"/>
      <c r="AA44" s="6"/>
      <c r="AB44" s="6"/>
      <c r="AC44" s="6"/>
      <c r="AD44" s="6"/>
      <c r="AE44" s="6"/>
      <c r="AF44" s="39"/>
      <c r="AG44" s="6"/>
      <c r="AH44" s="6"/>
      <c r="AI44" s="6"/>
      <c r="AJ44" s="6"/>
      <c r="AK44" s="6"/>
      <c r="AL44" s="6"/>
      <c r="AM44" s="6"/>
      <c r="AN44" s="6"/>
      <c r="AO44" s="6"/>
      <c r="AP44" s="6"/>
      <c r="AQ44" s="6"/>
      <c r="AR44" s="6"/>
      <c r="AS44" s="6"/>
      <c r="AT44" s="6"/>
      <c r="AU44" s="6"/>
      <c r="AV44" s="6"/>
      <c r="AW44" s="6"/>
      <c r="AX44" s="40"/>
      <c r="BB44" s="36"/>
      <c r="BF44" s="36"/>
      <c r="BJ44" s="36"/>
      <c r="BM44" s="36"/>
      <c r="BN44" s="33"/>
      <c r="BO44" s="14"/>
      <c r="BP44" s="18"/>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36"/>
      <c r="DO44" s="36"/>
      <c r="DP44" s="3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W44" s="6"/>
      <c r="HX44" s="6"/>
    </row>
    <row r="45" spans="1:232" ht="42" customHeight="1">
      <c r="A45" s="6"/>
      <c r="B45" s="7"/>
      <c r="C45" s="6"/>
      <c r="D45" s="65"/>
      <c r="E45" s="6"/>
      <c r="F45" s="6"/>
      <c r="G45" s="6"/>
      <c r="H45" s="4"/>
      <c r="I45" s="6"/>
      <c r="J45" s="6"/>
      <c r="K45" s="6"/>
      <c r="L45" s="6"/>
      <c r="M45" s="6"/>
      <c r="N45" s="7"/>
      <c r="O45" s="27"/>
      <c r="P45" s="66"/>
      <c r="Q45" s="66"/>
      <c r="R45" s="6"/>
      <c r="S45" s="6"/>
      <c r="T45" s="6"/>
      <c r="U45" s="6"/>
      <c r="V45" s="6"/>
      <c r="W45" s="6"/>
      <c r="X45" s="6"/>
      <c r="Y45" s="6"/>
      <c r="Z45" s="6"/>
      <c r="AA45" s="6"/>
      <c r="AB45" s="6"/>
      <c r="AC45" s="6"/>
      <c r="AD45" s="6"/>
      <c r="AE45" s="6"/>
      <c r="AF45" s="39"/>
      <c r="AG45" s="6"/>
      <c r="AH45" s="6"/>
      <c r="AI45" s="6"/>
      <c r="AJ45" s="6"/>
      <c r="AK45" s="6"/>
      <c r="AL45" s="6"/>
      <c r="AM45" s="6"/>
      <c r="AN45" s="6"/>
      <c r="AO45" s="6"/>
      <c r="AP45" s="6"/>
      <c r="AQ45" s="6"/>
      <c r="AR45" s="6"/>
      <c r="AS45" s="6"/>
      <c r="AT45" s="6"/>
      <c r="AU45" s="6"/>
      <c r="AV45" s="6"/>
      <c r="AW45" s="6"/>
      <c r="AX45" s="40"/>
      <c r="BB45" s="36"/>
      <c r="BF45" s="36"/>
      <c r="BJ45" s="36"/>
      <c r="BM45" s="36"/>
      <c r="BN45" s="33"/>
      <c r="BO45" s="14"/>
      <c r="BP45" s="17"/>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36"/>
      <c r="DO45" s="36"/>
      <c r="DP45" s="3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W45" s="6"/>
      <c r="HX45" s="6"/>
    </row>
    <row r="46" spans="1:232" ht="42" customHeight="1">
      <c r="A46" s="6"/>
      <c r="B46" s="7"/>
      <c r="C46" s="6"/>
      <c r="D46" s="65"/>
      <c r="E46" s="6"/>
      <c r="F46" s="6"/>
      <c r="G46" s="6"/>
      <c r="H46" s="6"/>
      <c r="I46" s="6"/>
      <c r="J46" s="6"/>
      <c r="K46" s="6"/>
      <c r="L46" s="6"/>
      <c r="M46" s="6"/>
      <c r="N46" s="7"/>
      <c r="O46" s="27"/>
      <c r="P46" s="66"/>
      <c r="Q46" s="66"/>
      <c r="R46" s="6"/>
      <c r="S46" s="6"/>
      <c r="T46" s="6"/>
      <c r="U46" s="6"/>
      <c r="V46" s="6"/>
      <c r="W46" s="6"/>
      <c r="X46" s="6"/>
      <c r="Y46" s="6"/>
      <c r="Z46" s="6"/>
      <c r="AA46" s="6"/>
      <c r="AB46" s="6"/>
      <c r="AC46" s="6"/>
      <c r="AD46" s="6"/>
      <c r="AE46" s="6"/>
      <c r="AF46" s="39"/>
      <c r="AG46" s="6"/>
      <c r="AH46" s="6"/>
      <c r="AI46" s="6"/>
      <c r="AJ46" s="6"/>
      <c r="AK46" s="6"/>
      <c r="AL46" s="6"/>
      <c r="AM46" s="6"/>
      <c r="AN46" s="6"/>
      <c r="AO46" s="6"/>
      <c r="AP46" s="6"/>
      <c r="AQ46" s="6"/>
      <c r="AR46" s="6"/>
      <c r="AS46" s="6"/>
      <c r="AT46" s="6"/>
      <c r="AU46" s="6"/>
      <c r="AV46" s="6"/>
      <c r="AW46" s="6"/>
      <c r="AX46" s="40"/>
      <c r="BB46" s="36"/>
      <c r="BF46" s="36"/>
      <c r="BJ46" s="36"/>
      <c r="BM46" s="36"/>
      <c r="BN46" s="33"/>
      <c r="BO46" s="15"/>
      <c r="BP46" s="18"/>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O46" s="36"/>
      <c r="DP46" s="3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W46" s="6"/>
      <c r="HX46" s="6"/>
    </row>
    <row r="47" spans="1:232" ht="42" customHeight="1">
      <c r="A47" s="6"/>
      <c r="B47" s="7"/>
      <c r="C47" s="6"/>
      <c r="D47" s="65"/>
      <c r="E47" s="6"/>
      <c r="F47" s="6"/>
      <c r="G47" s="6"/>
      <c r="H47" s="6"/>
      <c r="I47" s="6"/>
      <c r="J47" s="6"/>
      <c r="K47" s="6"/>
      <c r="L47" s="6"/>
      <c r="M47" s="6"/>
      <c r="N47" s="7"/>
      <c r="O47" s="27"/>
      <c r="P47" s="66"/>
      <c r="Q47" s="66"/>
      <c r="R47" s="6"/>
      <c r="S47" s="6"/>
      <c r="T47" s="6"/>
      <c r="U47" s="6"/>
      <c r="V47" s="6"/>
      <c r="W47" s="6"/>
      <c r="X47" s="6"/>
      <c r="Y47" s="6"/>
      <c r="Z47" s="6"/>
      <c r="AA47" s="6"/>
      <c r="AB47" s="6"/>
      <c r="AC47" s="6"/>
      <c r="AD47" s="6"/>
      <c r="AE47" s="6"/>
      <c r="AF47" s="11"/>
      <c r="AG47" s="6"/>
      <c r="AH47" s="6"/>
      <c r="AI47" s="6"/>
      <c r="AJ47" s="6"/>
      <c r="AK47" s="6"/>
      <c r="AL47" s="6"/>
      <c r="AM47" s="6"/>
      <c r="AN47" s="6"/>
      <c r="AO47" s="6"/>
      <c r="AP47" s="6"/>
      <c r="AQ47" s="6"/>
      <c r="AR47" s="6"/>
      <c r="AS47" s="6"/>
      <c r="AT47" s="6"/>
      <c r="AU47" s="6"/>
      <c r="AV47" s="6"/>
      <c r="AW47" s="6"/>
      <c r="AX47" s="40"/>
      <c r="BB47" s="36"/>
      <c r="BF47" s="36"/>
      <c r="BJ47" s="36"/>
      <c r="BM47" s="36"/>
      <c r="BN47" s="33"/>
      <c r="BO47" s="15"/>
      <c r="BP47" s="18"/>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O47" s="36"/>
      <c r="DP47" s="3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W47" s="6"/>
      <c r="HX47" s="6"/>
    </row>
    <row r="48" spans="1:232" ht="42" customHeight="1">
      <c r="A48" s="6"/>
      <c r="B48" s="7"/>
      <c r="C48" s="6"/>
      <c r="D48" s="65"/>
      <c r="E48" s="6"/>
      <c r="F48" s="6"/>
      <c r="G48" s="6"/>
      <c r="H48" s="6"/>
      <c r="I48" s="6"/>
      <c r="J48" s="6"/>
      <c r="K48" s="6"/>
      <c r="L48" s="6"/>
      <c r="M48" s="6"/>
      <c r="N48" s="7"/>
      <c r="O48" s="27"/>
      <c r="P48" s="6"/>
      <c r="Q48" s="66"/>
      <c r="R48" s="6"/>
      <c r="S48" s="6"/>
      <c r="T48" s="6"/>
      <c r="U48" s="6"/>
      <c r="V48" s="6"/>
      <c r="W48" s="6"/>
      <c r="X48" s="6"/>
      <c r="Y48" s="6"/>
      <c r="Z48" s="6"/>
      <c r="AA48" s="6"/>
      <c r="AB48" s="6"/>
      <c r="AC48" s="6"/>
      <c r="AD48" s="6"/>
      <c r="AE48" s="6"/>
      <c r="AF48" s="11"/>
      <c r="AG48" s="6"/>
      <c r="AH48" s="6"/>
      <c r="AI48" s="6"/>
      <c r="AJ48" s="6"/>
      <c r="AK48" s="6"/>
      <c r="AL48" s="6"/>
      <c r="AM48" s="6"/>
      <c r="AN48" s="6"/>
      <c r="AO48" s="6"/>
      <c r="AP48" s="6"/>
      <c r="AQ48" s="6"/>
      <c r="AR48" s="6"/>
      <c r="AS48" s="6"/>
      <c r="AT48" s="6"/>
      <c r="AU48" s="6"/>
      <c r="AV48" s="6"/>
      <c r="AW48" s="6"/>
      <c r="AX48" s="40"/>
      <c r="BB48" s="36"/>
      <c r="BF48" s="36"/>
      <c r="BJ48" s="36"/>
      <c r="BM48" s="36"/>
      <c r="BN48" s="33"/>
      <c r="BO48" s="14"/>
      <c r="BP48" s="17"/>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O48" s="36"/>
      <c r="DP48" s="3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W48" s="6"/>
      <c r="HX48" s="6"/>
    </row>
    <row r="49" spans="1:228" ht="42" customHeight="1">
      <c r="AX49" s="40"/>
      <c r="BB49" s="36"/>
      <c r="BF49" s="36"/>
      <c r="BJ49" s="36"/>
      <c r="BM49" s="36"/>
      <c r="BN49" s="33"/>
      <c r="DO49" s="36"/>
      <c r="DP49" s="36"/>
    </row>
    <row r="50" spans="1:228" ht="42" customHeight="1">
      <c r="AX50" s="40"/>
      <c r="BB50" s="36"/>
      <c r="BF50" s="36"/>
      <c r="BM50" s="36"/>
      <c r="DO50" s="36"/>
      <c r="DP50" s="36"/>
    </row>
    <row r="51" spans="1:228" ht="42" customHeight="1">
      <c r="AX51" s="40"/>
      <c r="BB51" s="36"/>
      <c r="BF51" s="36"/>
      <c r="DO51" s="36"/>
    </row>
    <row r="52" spans="1:228">
      <c r="C52" s="26"/>
      <c r="D52" s="20"/>
      <c r="O52" s="4"/>
      <c r="AX52" s="40"/>
      <c r="BB52" s="36"/>
      <c r="BF52" s="36"/>
      <c r="DO52" s="36"/>
      <c r="FK52" s="6"/>
      <c r="FL52" s="6"/>
      <c r="FM52" s="6"/>
      <c r="FN52" s="6"/>
      <c r="FO52" s="6"/>
      <c r="FP52" s="6"/>
      <c r="FQ52" s="6"/>
      <c r="FR52" s="6"/>
    </row>
    <row r="53" spans="1:228">
      <c r="D53" s="20"/>
      <c r="AX53" s="40"/>
      <c r="BF53" s="36"/>
      <c r="DO53" s="36"/>
      <c r="FK53" s="6"/>
      <c r="FL53" s="6"/>
      <c r="FM53" s="6"/>
      <c r="FN53" s="6"/>
      <c r="FO53" s="6"/>
      <c r="FP53" s="6"/>
      <c r="FQ53" s="6"/>
      <c r="FR53" s="6"/>
    </row>
    <row r="54" spans="1:228">
      <c r="D54" s="20"/>
      <c r="AX54" s="40"/>
      <c r="BF54" s="36"/>
      <c r="DO54" s="36"/>
      <c r="FK54" s="6"/>
      <c r="FL54" s="6"/>
      <c r="FM54" s="6"/>
      <c r="FN54" s="6"/>
      <c r="FO54" s="6"/>
      <c r="FP54" s="6"/>
      <c r="FQ54" s="6"/>
      <c r="FR54" s="6"/>
    </row>
    <row r="55" spans="1:228">
      <c r="D55" s="20"/>
      <c r="AX55" s="40"/>
      <c r="BF55" s="36"/>
      <c r="DO55" s="36"/>
      <c r="FK55" s="6"/>
      <c r="FL55" s="6"/>
      <c r="FM55" s="6"/>
      <c r="FN55" s="6"/>
      <c r="FO55" s="6"/>
      <c r="FP55" s="6"/>
      <c r="FQ55" s="6"/>
      <c r="FR55" s="6"/>
    </row>
    <row r="56" spans="1:228">
      <c r="D56" s="20"/>
      <c r="AX56" s="40"/>
      <c r="DO56" s="36"/>
      <c r="FK56" s="6"/>
      <c r="FL56" s="6"/>
      <c r="FM56" s="6"/>
      <c r="FN56" s="6"/>
      <c r="FO56" s="6"/>
      <c r="FP56" s="6"/>
      <c r="FQ56" s="6"/>
      <c r="FR56" s="6"/>
    </row>
    <row r="57" spans="1:228">
      <c r="D57" s="20"/>
      <c r="AX57" s="40"/>
      <c r="FK57" s="6"/>
      <c r="FL57" s="6"/>
      <c r="FM57" s="6"/>
      <c r="FN57" s="6"/>
      <c r="FO57" s="6"/>
      <c r="FP57" s="6"/>
      <c r="FQ57" s="6"/>
      <c r="FR57" s="6"/>
    </row>
    <row r="58" spans="1:228">
      <c r="AX58" s="40"/>
      <c r="FK58" s="6"/>
      <c r="FL58" s="6"/>
      <c r="FM58" s="6"/>
      <c r="FN58" s="6"/>
      <c r="FO58" s="6"/>
      <c r="FP58" s="6"/>
      <c r="FQ58" s="6"/>
      <c r="FR58" s="6"/>
    </row>
    <row r="59" spans="1:228">
      <c r="AX59" s="40"/>
      <c r="FK59" s="6"/>
      <c r="FL59" s="6"/>
      <c r="FM59" s="6"/>
      <c r="FN59" s="6"/>
      <c r="FO59" s="6"/>
      <c r="FP59" s="6"/>
      <c r="FQ59" s="6"/>
      <c r="FR59" s="6"/>
    </row>
    <row r="60" spans="1:228">
      <c r="AX60" s="40"/>
      <c r="FK60" s="6"/>
      <c r="FL60" s="6"/>
      <c r="FM60" s="6"/>
      <c r="FN60" s="6"/>
      <c r="FO60" s="6"/>
      <c r="FP60" s="6"/>
      <c r="FQ60" s="6"/>
      <c r="FR60" s="6"/>
    </row>
    <row r="61" spans="1:228">
      <c r="AX61" s="40"/>
      <c r="FK61" s="6"/>
      <c r="FL61" s="6"/>
      <c r="FM61" s="6"/>
      <c r="FN61" s="6"/>
      <c r="FO61" s="6"/>
      <c r="FP61" s="6"/>
      <c r="FQ61" s="6"/>
      <c r="FR61" s="6"/>
    </row>
    <row r="62" spans="1:228">
      <c r="AX62" s="40"/>
      <c r="FK62" s="6"/>
      <c r="FL62" s="6"/>
      <c r="FM62" s="6"/>
      <c r="FN62" s="6"/>
      <c r="FO62" s="6"/>
      <c r="FP62" s="6"/>
      <c r="FQ62" s="6"/>
      <c r="FR62" s="6"/>
    </row>
    <row r="63" spans="1:228">
      <c r="AX63" s="40"/>
      <c r="FK63" s="6"/>
      <c r="FL63" s="6"/>
      <c r="FM63" s="6"/>
      <c r="FN63" s="6"/>
      <c r="FO63" s="6"/>
      <c r="FP63" s="6"/>
      <c r="FQ63" s="6"/>
      <c r="FR63" s="6"/>
    </row>
    <row r="64" spans="1:228">
      <c r="A64" s="24"/>
      <c r="B64" s="5"/>
      <c r="C64" s="4"/>
      <c r="D64" s="20"/>
      <c r="E64" s="4"/>
      <c r="F64" s="4"/>
      <c r="G64" s="4"/>
      <c r="H64" s="4"/>
      <c r="I64" s="4"/>
      <c r="J64" s="4"/>
      <c r="K64" s="4"/>
      <c r="L64" s="4"/>
      <c r="M64" s="4"/>
      <c r="N64" s="5"/>
      <c r="O64" s="4"/>
      <c r="P64" s="4"/>
      <c r="Q64" s="4"/>
      <c r="R64" s="4"/>
      <c r="S64" s="4"/>
      <c r="T64" s="4"/>
      <c r="U64" s="4"/>
      <c r="V64" s="4"/>
      <c r="W64" s="4"/>
      <c r="X64" s="4"/>
      <c r="Y64" s="4"/>
      <c r="Z64" s="4"/>
      <c r="AA64" s="4"/>
      <c r="AB64" s="4"/>
      <c r="AC64" s="4"/>
      <c r="AD64" s="4"/>
      <c r="AE64" s="4"/>
      <c r="AF64" s="39"/>
      <c r="AG64" s="4"/>
      <c r="AH64" s="4"/>
      <c r="AI64" s="4"/>
      <c r="AJ64" s="4"/>
      <c r="AK64" s="4"/>
      <c r="AL64" s="4"/>
      <c r="AM64" s="4"/>
      <c r="AN64" s="4"/>
      <c r="AO64" s="4"/>
      <c r="AP64" s="4"/>
      <c r="AQ64" s="4"/>
      <c r="AR64" s="4"/>
      <c r="AS64" s="4"/>
      <c r="AT64" s="4"/>
      <c r="AU64" s="4"/>
      <c r="AV64" s="4"/>
      <c r="AW64" s="4"/>
      <c r="AX64" s="40"/>
      <c r="BF64" s="36"/>
      <c r="BM64" s="36"/>
      <c r="BO64" s="15"/>
      <c r="BP64" s="18"/>
      <c r="BQ64" s="4"/>
      <c r="BR64" s="4"/>
      <c r="BS64" s="4"/>
      <c r="BT64" s="4"/>
      <c r="BU64" s="4"/>
      <c r="BV64" s="4"/>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Q64" s="4"/>
      <c r="DR64" s="4"/>
      <c r="EJ64" s="36"/>
      <c r="FB64" s="36"/>
      <c r="FC64" s="6"/>
      <c r="FD64" s="6"/>
      <c r="FE64" s="6"/>
      <c r="FF64" s="6"/>
      <c r="FG64" s="6"/>
      <c r="FH64" s="6"/>
      <c r="FI64" s="6"/>
      <c r="FJ64" s="36"/>
      <c r="FK64" s="6"/>
      <c r="FL64" s="6"/>
      <c r="FM64" s="6"/>
      <c r="FN64" s="36"/>
      <c r="FO64" s="6"/>
      <c r="FP64" s="6"/>
      <c r="FQ64" s="6"/>
      <c r="FR64" s="36"/>
      <c r="GL64" s="6"/>
      <c r="HD64" s="6"/>
      <c r="HL64" s="36"/>
      <c r="HP64" s="36"/>
      <c r="HT64" s="36"/>
    </row>
    <row r="65" spans="1:232">
      <c r="A65" s="24"/>
      <c r="B65" s="5"/>
      <c r="C65" s="22"/>
      <c r="D65" s="20"/>
      <c r="E65" s="4"/>
      <c r="F65" s="4"/>
      <c r="G65" s="4"/>
      <c r="H65" s="4"/>
      <c r="I65" s="4"/>
      <c r="J65" s="4"/>
      <c r="K65" s="4"/>
      <c r="L65" s="22"/>
      <c r="M65" s="22"/>
      <c r="N65" s="5"/>
      <c r="O65" s="4"/>
      <c r="P65" s="4"/>
      <c r="Q65" s="4"/>
      <c r="R65" s="4"/>
      <c r="S65" s="4"/>
      <c r="T65" s="4"/>
      <c r="U65" s="4"/>
      <c r="V65" s="4"/>
      <c r="W65" s="4"/>
      <c r="X65" s="4"/>
      <c r="Y65" s="4"/>
      <c r="Z65" s="4"/>
      <c r="AA65" s="4"/>
      <c r="AB65" s="4"/>
      <c r="AC65" s="4"/>
      <c r="AD65" s="4"/>
      <c r="AE65" s="4"/>
      <c r="AF65" s="12"/>
      <c r="AG65" s="4"/>
      <c r="AH65" s="4"/>
      <c r="AI65" s="4"/>
      <c r="AJ65" s="4"/>
      <c r="AK65" s="4"/>
      <c r="AL65" s="4"/>
      <c r="AM65" s="4"/>
      <c r="AN65" s="4"/>
      <c r="AO65" s="4"/>
      <c r="AP65" s="4"/>
      <c r="AQ65" s="4"/>
      <c r="AR65" s="4"/>
      <c r="AS65" s="4"/>
      <c r="AT65" s="4"/>
      <c r="AU65" s="4"/>
      <c r="AV65" s="4"/>
      <c r="AW65" s="4"/>
      <c r="AX65" s="40"/>
      <c r="BM65" s="36"/>
      <c r="BO65" s="15"/>
      <c r="BP65" s="18"/>
      <c r="BQ65" s="4"/>
      <c r="BR65" s="4"/>
      <c r="BS65" s="4"/>
      <c r="BT65" s="4"/>
      <c r="BU65" s="4"/>
      <c r="BV65" s="4"/>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Q65" s="4"/>
      <c r="DR65" s="4"/>
      <c r="EJ65" s="36"/>
      <c r="FB65" s="36"/>
      <c r="FC65" s="6"/>
      <c r="FD65" s="6"/>
      <c r="FE65" s="6"/>
      <c r="FF65" s="6"/>
      <c r="FG65" s="6"/>
      <c r="FH65" s="6"/>
      <c r="FI65" s="6"/>
      <c r="FJ65" s="36"/>
      <c r="FK65" s="6"/>
      <c r="FL65" s="6"/>
      <c r="FM65" s="6"/>
      <c r="FN65" s="36"/>
      <c r="FO65" s="6"/>
      <c r="FP65" s="6"/>
      <c r="FQ65" s="6"/>
      <c r="FR65" s="6"/>
      <c r="GL65" s="6"/>
      <c r="HD65" s="6"/>
      <c r="HL65" s="36"/>
      <c r="HP65" s="36"/>
    </row>
    <row r="66" spans="1:232">
      <c r="D66" s="20"/>
      <c r="S66" s="4"/>
      <c r="T66" s="4"/>
      <c r="AF66" s="12"/>
      <c r="AX66" s="10"/>
      <c r="BM66" s="36"/>
      <c r="CZ66" s="6"/>
      <c r="EJ66" s="36"/>
      <c r="FB66" s="36"/>
      <c r="FJ66" s="36"/>
      <c r="FK66" s="6"/>
      <c r="FL66" s="6"/>
      <c r="FM66" s="6"/>
      <c r="FN66" s="36"/>
      <c r="FO66" s="6"/>
      <c r="FP66" s="6"/>
      <c r="FQ66" s="6"/>
      <c r="FR66" s="6"/>
      <c r="HP66" s="36"/>
    </row>
    <row r="67" spans="1:232">
      <c r="D67" s="20"/>
      <c r="S67" s="4"/>
      <c r="T67" s="4"/>
      <c r="AF67" s="12"/>
      <c r="AX67" s="10"/>
      <c r="BM67" s="36"/>
      <c r="CZ67" s="6"/>
      <c r="EJ67" s="36"/>
      <c r="FJ67" s="36"/>
      <c r="FK67" s="6"/>
      <c r="FL67" s="6"/>
      <c r="FM67" s="6"/>
      <c r="FN67" s="36"/>
      <c r="FO67" s="6"/>
      <c r="FP67" s="6"/>
      <c r="FQ67" s="6"/>
      <c r="FR67" s="6"/>
      <c r="HP67" s="36"/>
    </row>
    <row r="68" spans="1:232">
      <c r="D68" s="20"/>
      <c r="AF68" s="12"/>
      <c r="AX68" s="10"/>
      <c r="BM68" s="36"/>
      <c r="CZ68" s="6"/>
      <c r="EJ68" s="36"/>
      <c r="FK68" s="6"/>
      <c r="FL68" s="6"/>
      <c r="FM68" s="6"/>
      <c r="FN68" s="36"/>
      <c r="FO68" s="6"/>
      <c r="FP68" s="6"/>
      <c r="FQ68" s="6"/>
      <c r="FR68" s="6"/>
      <c r="HP68" s="36"/>
    </row>
    <row r="69" spans="1:232">
      <c r="A69" s="24"/>
      <c r="B69" s="5"/>
      <c r="C69" s="22"/>
      <c r="D69" s="20"/>
      <c r="E69" s="4"/>
      <c r="F69" s="6"/>
      <c r="G69" s="4"/>
      <c r="H69" s="4"/>
      <c r="I69" s="4"/>
      <c r="J69" s="4"/>
      <c r="K69" s="4"/>
      <c r="L69" s="4"/>
      <c r="M69" s="4"/>
      <c r="N69" s="5"/>
      <c r="O69" s="4"/>
      <c r="P69" s="4"/>
      <c r="Q69" s="4"/>
      <c r="R69" s="22"/>
      <c r="S69" s="4"/>
      <c r="T69" s="4"/>
      <c r="U69" s="6"/>
      <c r="V69" s="6"/>
      <c r="W69" s="6"/>
      <c r="X69" s="6"/>
      <c r="Y69" s="6"/>
      <c r="Z69" s="6"/>
      <c r="AA69" s="6"/>
      <c r="AB69" s="6"/>
      <c r="AC69" s="6"/>
      <c r="AD69" s="6"/>
      <c r="AE69" s="6"/>
      <c r="AF69" s="12"/>
      <c r="AG69" s="6"/>
      <c r="AH69" s="6"/>
      <c r="AI69" s="6"/>
      <c r="AJ69" s="6"/>
      <c r="AK69" s="6"/>
      <c r="AL69" s="6"/>
      <c r="AM69" s="6"/>
      <c r="AN69" s="6"/>
      <c r="AO69" s="6"/>
      <c r="AP69" s="6"/>
      <c r="AQ69" s="6"/>
      <c r="AR69" s="6"/>
      <c r="AS69" s="6"/>
      <c r="AT69" s="6"/>
      <c r="AU69" s="6"/>
      <c r="AV69" s="6"/>
      <c r="AW69" s="6"/>
      <c r="AX69" s="10"/>
      <c r="BM69" s="36"/>
      <c r="BO69" s="15"/>
      <c r="BP69" s="18"/>
      <c r="BQ69" s="22"/>
      <c r="CH69" s="6"/>
      <c r="CI69" s="6"/>
      <c r="CJ69" s="6"/>
      <c r="CK69" s="6"/>
      <c r="CL69" s="6"/>
      <c r="CM69" s="6"/>
      <c r="CN69" s="6"/>
      <c r="CO69" s="6"/>
      <c r="CP69" s="6"/>
      <c r="CQ69" s="6"/>
      <c r="CR69" s="6"/>
      <c r="CS69" s="6"/>
      <c r="CT69" s="6"/>
      <c r="CU69" s="6"/>
      <c r="CV69" s="6"/>
      <c r="CW69" s="6"/>
      <c r="CX69" s="6"/>
      <c r="CY69" s="6"/>
      <c r="CZ69" s="6"/>
      <c r="EJ69" s="36"/>
      <c r="FB69" s="6"/>
      <c r="FC69" s="6"/>
      <c r="FD69" s="6"/>
      <c r="FE69" s="6"/>
      <c r="FF69" s="6"/>
      <c r="FG69" s="6"/>
      <c r="FH69" s="6"/>
      <c r="FI69" s="6"/>
      <c r="FJ69" s="6"/>
      <c r="FK69" s="6"/>
      <c r="FL69" s="6"/>
      <c r="FM69" s="6"/>
      <c r="FN69" s="36"/>
      <c r="FO69" s="6"/>
      <c r="FP69" s="6"/>
      <c r="FQ69" s="6"/>
      <c r="FR69" s="6"/>
      <c r="GL69" s="6"/>
      <c r="HD69" s="6"/>
      <c r="HP69" s="36"/>
    </row>
    <row r="70" spans="1:232">
      <c r="A70" s="24"/>
      <c r="B70" s="5"/>
      <c r="C70" s="4"/>
      <c r="D70" s="20"/>
      <c r="E70" s="6"/>
      <c r="F70" s="6"/>
      <c r="G70" s="4"/>
      <c r="H70" s="6"/>
      <c r="I70" s="4"/>
      <c r="J70" s="6"/>
      <c r="K70" s="4"/>
      <c r="L70" s="4"/>
      <c r="M70" s="4"/>
      <c r="N70" s="7"/>
      <c r="O70" s="6"/>
      <c r="P70" s="6"/>
      <c r="Q70" s="6"/>
      <c r="R70" s="4"/>
      <c r="S70" s="4"/>
      <c r="T70" s="4"/>
      <c r="U70" s="6"/>
      <c r="V70" s="6"/>
      <c r="W70" s="6"/>
      <c r="X70" s="6"/>
      <c r="Y70" s="6"/>
      <c r="Z70" s="6"/>
      <c r="AA70" s="6"/>
      <c r="AB70" s="6"/>
      <c r="AC70" s="6"/>
      <c r="AD70" s="6"/>
      <c r="AE70" s="6"/>
      <c r="AF70" s="12"/>
      <c r="AG70" s="6"/>
      <c r="AH70" s="6"/>
      <c r="AI70" s="6"/>
      <c r="AJ70" s="6"/>
      <c r="AK70" s="6"/>
      <c r="AL70" s="6"/>
      <c r="AM70" s="6"/>
      <c r="AN70" s="6"/>
      <c r="AO70" s="6"/>
      <c r="AP70" s="6"/>
      <c r="AQ70" s="6"/>
      <c r="AR70" s="6"/>
      <c r="AS70" s="6"/>
      <c r="AT70" s="6"/>
      <c r="AU70" s="6"/>
      <c r="AV70" s="6"/>
      <c r="AW70" s="6"/>
      <c r="AX70" s="10"/>
      <c r="BM70" s="36"/>
      <c r="BO70" s="14"/>
      <c r="BP70" s="18"/>
      <c r="BQ70" s="6"/>
      <c r="BR70" s="27"/>
      <c r="BS70" s="28"/>
      <c r="BT70" s="28"/>
      <c r="BU70" s="6"/>
      <c r="BV70" s="4"/>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Q70" s="4"/>
      <c r="DR70" s="4"/>
      <c r="DS70" s="6"/>
      <c r="DT70" s="6"/>
      <c r="DU70" s="6"/>
      <c r="DV70" s="6"/>
      <c r="DW70" s="6"/>
      <c r="DX70" s="6"/>
      <c r="DY70" s="6"/>
      <c r="DZ70" s="6"/>
      <c r="EA70" s="6"/>
      <c r="EB70" s="6"/>
      <c r="EC70" s="6"/>
      <c r="ED70" s="6"/>
      <c r="EE70" s="6"/>
      <c r="EF70" s="6"/>
      <c r="EG70" s="6"/>
      <c r="EH70" s="6"/>
      <c r="EI70" s="6"/>
      <c r="EJ70" s="3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3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36"/>
      <c r="HQ70" s="6"/>
      <c r="HR70" s="6"/>
      <c r="HS70" s="6"/>
      <c r="HT70" s="6"/>
      <c r="HU70" s="6"/>
      <c r="HW70" s="6"/>
      <c r="HX70" s="6"/>
    </row>
    <row r="71" spans="1:232">
      <c r="D71" s="20"/>
      <c r="O71" s="4"/>
      <c r="AX71" s="10"/>
      <c r="BM71" s="36"/>
      <c r="CZ71" s="6"/>
      <c r="FK71" s="6"/>
      <c r="FL71" s="6"/>
      <c r="FM71" s="6"/>
      <c r="FN71" s="6"/>
      <c r="FO71" s="6"/>
      <c r="FP71" s="6"/>
      <c r="FQ71" s="6"/>
      <c r="FR71" s="6"/>
      <c r="HP71" s="36"/>
    </row>
    <row r="72" spans="1:232">
      <c r="D72" s="20"/>
      <c r="O72" s="4"/>
      <c r="AX72" s="10"/>
      <c r="BM72" s="36"/>
      <c r="CZ72" s="6"/>
      <c r="FK72" s="6"/>
      <c r="FL72" s="6"/>
      <c r="FM72" s="6"/>
      <c r="FN72" s="6"/>
      <c r="FO72" s="6"/>
      <c r="FP72" s="6"/>
      <c r="FQ72" s="6"/>
      <c r="FR72" s="6"/>
      <c r="HP72" s="36"/>
    </row>
    <row r="73" spans="1:232">
      <c r="D73" s="20"/>
      <c r="O73" s="4"/>
      <c r="AX73" s="10"/>
      <c r="BM73" s="36"/>
      <c r="FK73" s="6"/>
      <c r="FL73" s="6"/>
      <c r="FM73" s="6"/>
      <c r="FN73" s="6"/>
      <c r="FO73" s="6"/>
      <c r="FP73" s="6"/>
      <c r="FQ73" s="6"/>
      <c r="FR73" s="6"/>
      <c r="HP73" s="36"/>
    </row>
    <row r="74" spans="1:232">
      <c r="D74" s="20"/>
      <c r="O74" s="4"/>
      <c r="AX74" s="10"/>
      <c r="BM74" s="36"/>
      <c r="FK74" s="6"/>
      <c r="FL74" s="6"/>
      <c r="FM74" s="6"/>
      <c r="FN74" s="6"/>
      <c r="FO74" s="6"/>
      <c r="FP74" s="6"/>
      <c r="FQ74" s="6"/>
      <c r="FR74" s="6"/>
      <c r="HP74" s="36"/>
    </row>
    <row r="75" spans="1:232">
      <c r="A75" s="14"/>
      <c r="B75" s="5"/>
      <c r="C75" s="25"/>
      <c r="D75" s="20"/>
      <c r="L75" s="4"/>
      <c r="M75" s="4"/>
      <c r="N75" s="5"/>
      <c r="O75" s="4"/>
      <c r="P75" s="4"/>
      <c r="Q75" s="4"/>
      <c r="R75" s="4"/>
      <c r="S75" s="4"/>
      <c r="T75" s="4"/>
      <c r="AX75" s="10"/>
      <c r="BM75" s="36"/>
      <c r="FK75" s="6"/>
      <c r="FL75" s="6"/>
      <c r="FM75" s="6"/>
      <c r="FN75" s="6"/>
      <c r="FO75" s="6"/>
      <c r="FP75" s="6"/>
      <c r="FQ75" s="6"/>
      <c r="FR75" s="6"/>
      <c r="HP75" s="36"/>
    </row>
    <row r="76" spans="1:232">
      <c r="A76" s="14"/>
      <c r="B76" s="5"/>
      <c r="C76" s="25"/>
      <c r="D76" s="20"/>
      <c r="L76" s="4"/>
      <c r="M76" s="4"/>
      <c r="N76" s="5"/>
      <c r="O76" s="4"/>
      <c r="P76" s="4"/>
      <c r="Q76" s="4"/>
      <c r="R76" s="4"/>
      <c r="AX76" s="10"/>
      <c r="BM76" s="36"/>
      <c r="FK76" s="6"/>
      <c r="FL76" s="6"/>
      <c r="FM76" s="6"/>
      <c r="FN76" s="6"/>
      <c r="FO76" s="6"/>
      <c r="FP76" s="6"/>
      <c r="FQ76" s="6"/>
      <c r="FR76"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EDBDF-C21B-4E22-80E5-A74CAE8F2DFB}">
  <dimension ref="A1:HW73"/>
  <sheetViews>
    <sheetView topLeftCell="A6" workbookViewId="0">
      <selection activeCell="Q17" sqref="Q17"/>
    </sheetView>
  </sheetViews>
  <sheetFormatPr defaultRowHeight="15.75"/>
  <cols>
    <col min="1" max="1" width="18.875" customWidth="1"/>
    <col min="2" max="2" width="10.875" style="3" customWidth="1"/>
    <col min="3" max="3" width="28.625" customWidth="1"/>
    <col min="4" max="4" width="10" style="21" customWidth="1"/>
    <col min="5" max="5" width="13" customWidth="1"/>
    <col min="6" max="6" width="4" customWidth="1"/>
    <col min="7" max="7" width="7.125" customWidth="1"/>
    <col min="8" max="8" width="8.375" bestFit="1" customWidth="1"/>
    <col min="9" max="9" width="10.875" bestFit="1" customWidth="1"/>
    <col min="10" max="10" width="12" bestFit="1" customWidth="1"/>
    <col min="11" max="11" width="22.75" customWidth="1"/>
    <col min="12" max="12" width="28.5" customWidth="1"/>
    <col min="13" max="13" width="15.125" customWidth="1"/>
    <col min="14" max="14" width="11.25" style="3" customWidth="1"/>
    <col min="15" max="15" width="7.625" bestFit="1" customWidth="1"/>
    <col min="16" max="16" width="14.5" customWidth="1"/>
    <col min="17" max="17" width="15.375" customWidth="1"/>
    <col min="18" max="18" width="26.125" customWidth="1"/>
    <col min="19" max="19" width="32.875" customWidth="1"/>
    <col min="20" max="21" width="11.125" customWidth="1"/>
    <col min="22" max="28" width="11.125" bestFit="1" customWidth="1"/>
    <col min="29" max="30" width="12.125" bestFit="1" customWidth="1"/>
    <col min="31" max="31" width="15" style="13" bestFit="1" customWidth="1"/>
    <col min="32" max="40" width="11" bestFit="1" customWidth="1"/>
    <col min="41" max="48" width="12" bestFit="1" customWidth="1"/>
    <col min="49" max="49" width="14.875" style="9" bestFit="1" customWidth="1"/>
    <col min="50" max="50" width="14.75" style="6" customWidth="1"/>
    <col min="51" max="51" width="15.875" style="6" customWidth="1"/>
    <col min="52" max="52" width="14.25" style="6" customWidth="1"/>
    <col min="53" max="53" width="14.75" style="6" customWidth="1"/>
    <col min="54" max="54" width="13.875" style="6" customWidth="1"/>
    <col min="55" max="55" width="15" style="6" customWidth="1"/>
    <col min="56" max="56" width="13.375" style="6" customWidth="1"/>
    <col min="57" max="57" width="13.875" style="6" customWidth="1"/>
    <col min="58" max="58" width="13.625" style="6" customWidth="1"/>
    <col min="59" max="59" width="14.75" style="6" customWidth="1"/>
    <col min="60" max="60" width="13.125" style="6" customWidth="1"/>
    <col min="61" max="61" width="13.625" style="6" customWidth="1"/>
    <col min="62" max="62" width="15.375" style="6" customWidth="1"/>
    <col min="63" max="63" width="13.75" style="6" customWidth="1"/>
    <col min="64" max="64" width="14.25" style="6" customWidth="1"/>
    <col min="65" max="65" width="12.75" style="14" customWidth="1"/>
    <col min="66" max="66" width="32.25" style="16" customWidth="1"/>
    <col min="67" max="67" width="38.5" style="19" customWidth="1"/>
    <col min="68" max="68" width="10" style="3" customWidth="1"/>
    <col min="69" max="69" width="8" bestFit="1" customWidth="1"/>
    <col min="70" max="70" width="14.5" customWidth="1"/>
    <col min="71" max="71" width="15.375" customWidth="1"/>
    <col min="72" max="72" width="13.375" customWidth="1"/>
    <col min="73" max="73" width="25.25" customWidth="1"/>
    <col min="74" max="82" width="11.125" bestFit="1" customWidth="1"/>
    <col min="83" max="84" width="12.125" bestFit="1" customWidth="1"/>
    <col min="85" max="85" width="15" style="13" customWidth="1"/>
    <col min="86" max="94" width="11" bestFit="1" customWidth="1"/>
    <col min="95" max="102" width="12" bestFit="1" customWidth="1"/>
    <col min="103" max="103" width="14.875" style="9" bestFit="1" customWidth="1"/>
    <col min="104" max="104" width="14.75" style="6" customWidth="1"/>
    <col min="105" max="105" width="15.875" style="6" customWidth="1"/>
    <col min="106" max="106" width="14.25" style="6" customWidth="1"/>
    <col min="107" max="107" width="14.75" style="6" customWidth="1"/>
    <col min="108" max="108" width="13.875" style="6" customWidth="1"/>
    <col min="109" max="109" width="15" style="6" customWidth="1"/>
    <col min="110" max="110" width="13.375" style="6" customWidth="1"/>
    <col min="111" max="111" width="13.875" style="6" customWidth="1"/>
    <col min="112" max="112" width="13.625" style="6" customWidth="1"/>
    <col min="113" max="113" width="14.75" style="6" customWidth="1"/>
    <col min="114" max="114" width="13.125" style="6" customWidth="1"/>
    <col min="115" max="115" width="13.625" style="6" customWidth="1"/>
    <col min="116" max="116" width="15.375" style="6" customWidth="1"/>
    <col min="117" max="117" width="13.75" style="6" customWidth="1"/>
    <col min="118" max="118" width="14.25" style="6" customWidth="1"/>
    <col min="119" max="119" width="12.75" style="14" customWidth="1"/>
    <col min="120" max="120" width="19.875" style="16" customWidth="1"/>
    <col min="121" max="121" width="34.875" style="19" customWidth="1"/>
    <col min="122" max="122" width="10" style="3" customWidth="1"/>
    <col min="123" max="123" width="7.625" bestFit="1" customWidth="1"/>
    <col min="124" max="124" width="14.5" bestFit="1" customWidth="1"/>
    <col min="125" max="125" width="15.375" bestFit="1" customWidth="1"/>
    <col min="126" max="126" width="13.375" bestFit="1" customWidth="1"/>
    <col min="127" max="127" width="25.875" customWidth="1"/>
    <col min="128" max="136" width="11.125" bestFit="1" customWidth="1"/>
    <col min="137" max="138" width="12.125" bestFit="1" customWidth="1"/>
    <col min="139" max="139" width="15" style="13" bestFit="1" customWidth="1"/>
    <col min="140" max="148" width="11" bestFit="1" customWidth="1"/>
    <col min="149" max="156" width="12" bestFit="1" customWidth="1"/>
    <col min="157" max="157" width="14.875" style="9" bestFit="1" customWidth="1"/>
    <col min="158" max="158" width="14.75" customWidth="1"/>
    <col min="159" max="159" width="15.875" customWidth="1"/>
    <col min="160" max="160" width="14.25" customWidth="1"/>
    <col min="161" max="161" width="14.75" customWidth="1"/>
    <col min="162" max="162" width="13.875" customWidth="1"/>
    <col min="163" max="163" width="15" customWidth="1"/>
    <col min="164" max="164" width="13.375" customWidth="1"/>
    <col min="165" max="165" width="13.875" customWidth="1"/>
    <col min="166" max="166" width="13.625" customWidth="1"/>
    <col min="167" max="167" width="14.75" customWidth="1"/>
    <col min="168" max="168" width="13.125" customWidth="1"/>
    <col min="169" max="169" width="13.625" customWidth="1"/>
    <col min="170" max="170" width="15.375" customWidth="1"/>
    <col min="171" max="171" width="13.75" customWidth="1"/>
    <col min="172" max="172" width="14.25" customWidth="1"/>
    <col min="173" max="173" width="12.75" style="16" customWidth="1"/>
    <col min="174" max="174" width="11.625" style="16" customWidth="1"/>
    <col min="175" max="175" width="29.75" style="19" customWidth="1"/>
    <col min="176" max="176" width="10" style="3" bestFit="1" customWidth="1"/>
    <col min="177" max="177" width="7.625" bestFit="1" customWidth="1"/>
    <col min="178" max="178" width="14.5" bestFit="1" customWidth="1"/>
    <col min="179" max="179" width="15.375" bestFit="1" customWidth="1"/>
    <col min="180" max="180" width="13.375" bestFit="1" customWidth="1"/>
    <col min="181" max="181" width="22" customWidth="1"/>
    <col min="182" max="190" width="11.125" bestFit="1" customWidth="1"/>
    <col min="191" max="192" width="12.125" bestFit="1" customWidth="1"/>
    <col min="193" max="193" width="15" style="13" bestFit="1" customWidth="1"/>
    <col min="203" max="210" width="12" bestFit="1" customWidth="1"/>
    <col min="211" max="211" width="14.875" style="9" bestFit="1" customWidth="1"/>
    <col min="212" max="212" width="14.75" bestFit="1" customWidth="1"/>
    <col min="213" max="213" width="15.875" bestFit="1" customWidth="1"/>
    <col min="214" max="214" width="14.25" bestFit="1" customWidth="1"/>
    <col min="215" max="215" width="14.75" bestFit="1" customWidth="1"/>
    <col min="216" max="216" width="13.875" bestFit="1" customWidth="1"/>
    <col min="217" max="217" width="15" bestFit="1" customWidth="1"/>
    <col min="218" max="218" width="13.375" bestFit="1" customWidth="1"/>
    <col min="219" max="219" width="13.875" bestFit="1" customWidth="1"/>
    <col min="220" max="220" width="13.625" bestFit="1" customWidth="1"/>
    <col min="221" max="221" width="14.75" bestFit="1" customWidth="1"/>
    <col min="222" max="222" width="13.125" bestFit="1" customWidth="1"/>
    <col min="223" max="223" width="13.625" bestFit="1" customWidth="1"/>
    <col min="224" max="224" width="15.375" bestFit="1" customWidth="1"/>
    <col min="225" max="225" width="13.75" bestFit="1" customWidth="1"/>
    <col min="226" max="226" width="14.25" bestFit="1" customWidth="1"/>
    <col min="227" max="227" width="12.75" style="16" bestFit="1" customWidth="1"/>
    <col min="228" max="228" width="32.125" style="16" customWidth="1"/>
    <col min="229" max="229" width="30.625" style="18" customWidth="1"/>
    <col min="230" max="230" width="18.375" customWidth="1"/>
    <col min="231" max="231" width="15.625" customWidth="1"/>
  </cols>
  <sheetData>
    <row r="1" spans="1:231" s="36" customFormat="1" ht="16.5">
      <c r="A1" s="29" t="s">
        <v>0</v>
      </c>
      <c r="B1" s="30" t="s">
        <v>1</v>
      </c>
      <c r="C1" s="29" t="s">
        <v>2</v>
      </c>
      <c r="D1" s="29" t="s">
        <v>3</v>
      </c>
      <c r="E1" s="29" t="s">
        <v>4</v>
      </c>
      <c r="F1" s="29" t="s">
        <v>5</v>
      </c>
      <c r="G1" s="29" t="s">
        <v>6</v>
      </c>
      <c r="H1" s="29" t="s">
        <v>7</v>
      </c>
      <c r="I1" s="29" t="s">
        <v>8</v>
      </c>
      <c r="J1" s="29" t="s">
        <v>9</v>
      </c>
      <c r="K1" s="29" t="s">
        <v>10</v>
      </c>
      <c r="L1" s="29" t="s">
        <v>11</v>
      </c>
      <c r="M1" s="30" t="s">
        <v>12</v>
      </c>
      <c r="N1" s="30" t="s">
        <v>13</v>
      </c>
      <c r="O1" s="30" t="s">
        <v>14</v>
      </c>
      <c r="P1" s="30" t="s">
        <v>15</v>
      </c>
      <c r="Q1" s="30" t="s">
        <v>16</v>
      </c>
      <c r="R1" s="30" t="s">
        <v>17</v>
      </c>
      <c r="S1" s="30" t="s">
        <v>18</v>
      </c>
      <c r="T1" s="31" t="s">
        <v>19</v>
      </c>
      <c r="U1" s="31" t="s">
        <v>20</v>
      </c>
      <c r="V1" s="31" t="s">
        <v>21</v>
      </c>
      <c r="W1" s="31" t="s">
        <v>22</v>
      </c>
      <c r="X1" s="31" t="s">
        <v>23</v>
      </c>
      <c r="Y1" s="31" t="s">
        <v>24</v>
      </c>
      <c r="Z1" s="31" t="s">
        <v>25</v>
      </c>
      <c r="AA1" s="31" t="s">
        <v>26</v>
      </c>
      <c r="AB1" s="31" t="s">
        <v>27</v>
      </c>
      <c r="AC1" s="31" t="s">
        <v>28</v>
      </c>
      <c r="AD1" s="31" t="s">
        <v>29</v>
      </c>
      <c r="AE1" s="31" t="s">
        <v>30</v>
      </c>
      <c r="AF1" s="32" t="s">
        <v>31</v>
      </c>
      <c r="AG1" s="32" t="s">
        <v>32</v>
      </c>
      <c r="AH1" s="32" t="s">
        <v>33</v>
      </c>
      <c r="AI1" s="32" t="s">
        <v>34</v>
      </c>
      <c r="AJ1" s="32" t="s">
        <v>35</v>
      </c>
      <c r="AK1" s="32" t="s">
        <v>36</v>
      </c>
      <c r="AL1" s="32" t="s">
        <v>37</v>
      </c>
      <c r="AM1" s="32" t="s">
        <v>38</v>
      </c>
      <c r="AN1" s="32" t="s">
        <v>39</v>
      </c>
      <c r="AO1" s="32" t="s">
        <v>40</v>
      </c>
      <c r="AP1" s="32" t="s">
        <v>41</v>
      </c>
      <c r="AQ1" s="32" t="s">
        <v>42</v>
      </c>
      <c r="AR1" s="32" t="s">
        <v>43</v>
      </c>
      <c r="AS1" s="32" t="s">
        <v>44</v>
      </c>
      <c r="AT1" s="32" t="s">
        <v>45</v>
      </c>
      <c r="AU1" s="32" t="s">
        <v>46</v>
      </c>
      <c r="AV1" s="32" t="s">
        <v>47</v>
      </c>
      <c r="AW1" s="32" t="s">
        <v>48</v>
      </c>
      <c r="AX1" s="33" t="s">
        <v>49</v>
      </c>
      <c r="AY1" s="33" t="s">
        <v>50</v>
      </c>
      <c r="AZ1" s="33" t="s">
        <v>51</v>
      </c>
      <c r="BA1" s="33" t="s">
        <v>52</v>
      </c>
      <c r="BB1" s="33" t="s">
        <v>53</v>
      </c>
      <c r="BC1" s="33" t="s">
        <v>54</v>
      </c>
      <c r="BD1" s="33" t="s">
        <v>55</v>
      </c>
      <c r="BE1" s="33" t="s">
        <v>56</v>
      </c>
      <c r="BF1" s="33" t="s">
        <v>57</v>
      </c>
      <c r="BG1" s="33" t="s">
        <v>58</v>
      </c>
      <c r="BH1" s="33" t="s">
        <v>59</v>
      </c>
      <c r="BI1" s="33" t="s">
        <v>60</v>
      </c>
      <c r="BJ1" s="33" t="s">
        <v>61</v>
      </c>
      <c r="BK1" s="33" t="s">
        <v>62</v>
      </c>
      <c r="BL1" s="33" t="s">
        <v>63</v>
      </c>
      <c r="BM1" s="33" t="s">
        <v>64</v>
      </c>
      <c r="BN1" s="33" t="s">
        <v>65</v>
      </c>
      <c r="BO1" s="34" t="s">
        <v>66</v>
      </c>
      <c r="BP1" s="30" t="s">
        <v>67</v>
      </c>
      <c r="BQ1" s="30" t="s">
        <v>68</v>
      </c>
      <c r="BR1" s="30" t="s">
        <v>69</v>
      </c>
      <c r="BS1" s="30" t="s">
        <v>70</v>
      </c>
      <c r="BT1" s="30" t="s">
        <v>71</v>
      </c>
      <c r="BU1" s="30" t="s">
        <v>72</v>
      </c>
      <c r="BV1" s="31" t="s">
        <v>73</v>
      </c>
      <c r="BW1" s="31" t="s">
        <v>74</v>
      </c>
      <c r="BX1" s="31" t="s">
        <v>75</v>
      </c>
      <c r="BY1" s="31" t="s">
        <v>76</v>
      </c>
      <c r="BZ1" s="31" t="s">
        <v>77</v>
      </c>
      <c r="CA1" s="31" t="s">
        <v>78</v>
      </c>
      <c r="CB1" s="31" t="s">
        <v>79</v>
      </c>
      <c r="CC1" s="31" t="s">
        <v>80</v>
      </c>
      <c r="CD1" s="31" t="s">
        <v>81</v>
      </c>
      <c r="CE1" s="31" t="s">
        <v>82</v>
      </c>
      <c r="CF1" s="31" t="s">
        <v>83</v>
      </c>
      <c r="CG1" s="31" t="s">
        <v>84</v>
      </c>
      <c r="CH1" s="32" t="s">
        <v>85</v>
      </c>
      <c r="CI1" s="32" t="s">
        <v>86</v>
      </c>
      <c r="CJ1" s="32" t="s">
        <v>87</v>
      </c>
      <c r="CK1" s="32" t="s">
        <v>88</v>
      </c>
      <c r="CL1" s="32" t="s">
        <v>89</v>
      </c>
      <c r="CM1" s="32" t="s">
        <v>90</v>
      </c>
      <c r="CN1" s="32" t="s">
        <v>91</v>
      </c>
      <c r="CO1" s="32" t="s">
        <v>92</v>
      </c>
      <c r="CP1" s="32" t="s">
        <v>93</v>
      </c>
      <c r="CQ1" s="32" t="s">
        <v>94</v>
      </c>
      <c r="CR1" s="32" t="s">
        <v>95</v>
      </c>
      <c r="CS1" s="32" t="s">
        <v>96</v>
      </c>
      <c r="CT1" s="32" t="s">
        <v>97</v>
      </c>
      <c r="CU1" s="32" t="s">
        <v>98</v>
      </c>
      <c r="CV1" s="32" t="s">
        <v>99</v>
      </c>
      <c r="CW1" s="32" t="s">
        <v>100</v>
      </c>
      <c r="CX1" s="32" t="s">
        <v>101</v>
      </c>
      <c r="CY1" s="32" t="s">
        <v>102</v>
      </c>
      <c r="CZ1" s="33" t="s">
        <v>103</v>
      </c>
      <c r="DA1" s="33" t="s">
        <v>104</v>
      </c>
      <c r="DB1" s="33" t="s">
        <v>105</v>
      </c>
      <c r="DC1" s="33" t="s">
        <v>106</v>
      </c>
      <c r="DD1" s="33" t="s">
        <v>107</v>
      </c>
      <c r="DE1" s="33" t="s">
        <v>108</v>
      </c>
      <c r="DF1" s="33" t="s">
        <v>109</v>
      </c>
      <c r="DG1" s="33" t="s">
        <v>110</v>
      </c>
      <c r="DH1" s="33" t="s">
        <v>111</v>
      </c>
      <c r="DI1" s="33" t="s">
        <v>112</v>
      </c>
      <c r="DJ1" s="33" t="s">
        <v>113</v>
      </c>
      <c r="DK1" s="33" t="s">
        <v>114</v>
      </c>
      <c r="DL1" s="33" t="s">
        <v>115</v>
      </c>
      <c r="DM1" s="33" t="s">
        <v>116</v>
      </c>
      <c r="DN1" s="33" t="s">
        <v>117</v>
      </c>
      <c r="DO1" s="33" t="s">
        <v>118</v>
      </c>
      <c r="DP1" s="33" t="s">
        <v>119</v>
      </c>
      <c r="DQ1" s="34" t="s">
        <v>120</v>
      </c>
      <c r="DR1" s="30" t="s">
        <v>121</v>
      </c>
      <c r="DS1" s="30" t="s">
        <v>122</v>
      </c>
      <c r="DT1" s="30" t="s">
        <v>123</v>
      </c>
      <c r="DU1" s="30" t="s">
        <v>124</v>
      </c>
      <c r="DV1" s="30" t="s">
        <v>125</v>
      </c>
      <c r="DW1" s="30" t="s">
        <v>126</v>
      </c>
      <c r="DX1" s="31" t="s">
        <v>127</v>
      </c>
      <c r="DY1" s="31" t="s">
        <v>128</v>
      </c>
      <c r="DZ1" s="31" t="s">
        <v>129</v>
      </c>
      <c r="EA1" s="31" t="s">
        <v>130</v>
      </c>
      <c r="EB1" s="31" t="s">
        <v>131</v>
      </c>
      <c r="EC1" s="31" t="s">
        <v>132</v>
      </c>
      <c r="ED1" s="31" t="s">
        <v>133</v>
      </c>
      <c r="EE1" s="31" t="s">
        <v>134</v>
      </c>
      <c r="EF1" s="31" t="s">
        <v>135</v>
      </c>
      <c r="EG1" s="31" t="s">
        <v>136</v>
      </c>
      <c r="EH1" s="31" t="s">
        <v>137</v>
      </c>
      <c r="EI1" s="31" t="s">
        <v>138</v>
      </c>
      <c r="EJ1" s="32" t="s">
        <v>139</v>
      </c>
      <c r="EK1" s="32" t="s">
        <v>140</v>
      </c>
      <c r="EL1" s="32" t="s">
        <v>141</v>
      </c>
      <c r="EM1" s="32" t="s">
        <v>142</v>
      </c>
      <c r="EN1" s="32" t="s">
        <v>143</v>
      </c>
      <c r="EO1" s="32" t="s">
        <v>144</v>
      </c>
      <c r="EP1" s="32" t="s">
        <v>145</v>
      </c>
      <c r="EQ1" s="32" t="s">
        <v>146</v>
      </c>
      <c r="ER1" s="32" t="s">
        <v>147</v>
      </c>
      <c r="ES1" s="32" t="s">
        <v>148</v>
      </c>
      <c r="ET1" s="32" t="s">
        <v>149</v>
      </c>
      <c r="EU1" s="32" t="s">
        <v>150</v>
      </c>
      <c r="EV1" s="32" t="s">
        <v>151</v>
      </c>
      <c r="EW1" s="32" t="s">
        <v>152</v>
      </c>
      <c r="EX1" s="32" t="s">
        <v>153</v>
      </c>
      <c r="EY1" s="32" t="s">
        <v>154</v>
      </c>
      <c r="EZ1" s="32" t="s">
        <v>155</v>
      </c>
      <c r="FA1" s="32" t="s">
        <v>156</v>
      </c>
      <c r="FB1" s="33" t="s">
        <v>157</v>
      </c>
      <c r="FC1" s="33" t="s">
        <v>158</v>
      </c>
      <c r="FD1" s="33" t="s">
        <v>159</v>
      </c>
      <c r="FE1" s="33" t="s">
        <v>160</v>
      </c>
      <c r="FF1" s="33" t="s">
        <v>161</v>
      </c>
      <c r="FG1" s="33" t="s">
        <v>162</v>
      </c>
      <c r="FH1" s="33" t="s">
        <v>163</v>
      </c>
      <c r="FI1" s="33" t="s">
        <v>164</v>
      </c>
      <c r="FJ1" s="33" t="s">
        <v>165</v>
      </c>
      <c r="FK1" s="33" t="s">
        <v>166</v>
      </c>
      <c r="FL1" s="33" t="s">
        <v>167</v>
      </c>
      <c r="FM1" s="33" t="s">
        <v>168</v>
      </c>
      <c r="FN1" s="33" t="s">
        <v>169</v>
      </c>
      <c r="FO1" s="33" t="s">
        <v>170</v>
      </c>
      <c r="FP1" s="33" t="s">
        <v>171</v>
      </c>
      <c r="FQ1" s="33" t="s">
        <v>172</v>
      </c>
      <c r="FR1" s="33" t="s">
        <v>173</v>
      </c>
      <c r="FS1" s="34" t="s">
        <v>174</v>
      </c>
      <c r="FT1" s="30" t="s">
        <v>175</v>
      </c>
      <c r="FU1" s="30" t="s">
        <v>176</v>
      </c>
      <c r="FV1" s="30" t="s">
        <v>177</v>
      </c>
      <c r="FW1" s="30" t="s">
        <v>178</v>
      </c>
      <c r="FX1" s="30" t="s">
        <v>179</v>
      </c>
      <c r="FY1" s="30" t="s">
        <v>180</v>
      </c>
      <c r="FZ1" s="31" t="s">
        <v>181</v>
      </c>
      <c r="GA1" s="31" t="s">
        <v>182</v>
      </c>
      <c r="GB1" s="31" t="s">
        <v>183</v>
      </c>
      <c r="GC1" s="31" t="s">
        <v>184</v>
      </c>
      <c r="GD1" s="31" t="s">
        <v>185</v>
      </c>
      <c r="GE1" s="31" t="s">
        <v>186</v>
      </c>
      <c r="GF1" s="31" t="s">
        <v>187</v>
      </c>
      <c r="GG1" s="31" t="s">
        <v>188</v>
      </c>
      <c r="GH1" s="31" t="s">
        <v>189</v>
      </c>
      <c r="GI1" s="31" t="s">
        <v>190</v>
      </c>
      <c r="GJ1" s="31" t="s">
        <v>191</v>
      </c>
      <c r="GK1" s="31" t="s">
        <v>192</v>
      </c>
      <c r="GL1" s="32" t="s">
        <v>193</v>
      </c>
      <c r="GM1" s="32" t="s">
        <v>194</v>
      </c>
      <c r="GN1" s="32" t="s">
        <v>195</v>
      </c>
      <c r="GO1" s="32" t="s">
        <v>196</v>
      </c>
      <c r="GP1" s="32" t="s">
        <v>197</v>
      </c>
      <c r="GQ1" s="32" t="s">
        <v>198</v>
      </c>
      <c r="GR1" s="32" t="s">
        <v>199</v>
      </c>
      <c r="GS1" s="32" t="s">
        <v>200</v>
      </c>
      <c r="GT1" s="32" t="s">
        <v>201</v>
      </c>
      <c r="GU1" s="32" t="s">
        <v>202</v>
      </c>
      <c r="GV1" s="32" t="s">
        <v>203</v>
      </c>
      <c r="GW1" s="32" t="s">
        <v>204</v>
      </c>
      <c r="GX1" s="32" t="s">
        <v>205</v>
      </c>
      <c r="GY1" s="32" t="s">
        <v>206</v>
      </c>
      <c r="GZ1" s="32" t="s">
        <v>207</v>
      </c>
      <c r="HA1" s="32" t="s">
        <v>208</v>
      </c>
      <c r="HB1" s="32" t="s">
        <v>209</v>
      </c>
      <c r="HC1" s="32" t="s">
        <v>210</v>
      </c>
      <c r="HD1" s="33" t="s">
        <v>211</v>
      </c>
      <c r="HE1" s="33" t="s">
        <v>212</v>
      </c>
      <c r="HF1" s="33" t="s">
        <v>213</v>
      </c>
      <c r="HG1" s="33" t="s">
        <v>214</v>
      </c>
      <c r="HH1" s="33" t="s">
        <v>215</v>
      </c>
      <c r="HI1" s="33" t="s">
        <v>216</v>
      </c>
      <c r="HJ1" s="33" t="s">
        <v>217</v>
      </c>
      <c r="HK1" s="33" t="s">
        <v>218</v>
      </c>
      <c r="HL1" s="33" t="s">
        <v>219</v>
      </c>
      <c r="HM1" s="33" t="s">
        <v>220</v>
      </c>
      <c r="HN1" s="33" t="s">
        <v>221</v>
      </c>
      <c r="HO1" s="33" t="s">
        <v>222</v>
      </c>
      <c r="HP1" s="33" t="s">
        <v>223</v>
      </c>
      <c r="HQ1" s="33" t="s">
        <v>224</v>
      </c>
      <c r="HR1" s="33" t="s">
        <v>225</v>
      </c>
      <c r="HS1" s="33" t="s">
        <v>226</v>
      </c>
      <c r="HT1" s="33" t="s">
        <v>227</v>
      </c>
      <c r="HU1" s="35" t="s">
        <v>228</v>
      </c>
      <c r="HV1" s="63" t="s">
        <v>229</v>
      </c>
      <c r="HW1" s="63" t="s">
        <v>230</v>
      </c>
    </row>
    <row r="2" spans="1:231" s="36" customFormat="1" ht="97.5" customHeight="1">
      <c r="A2" s="36" t="s">
        <v>672</v>
      </c>
      <c r="B2" s="38" t="s">
        <v>239</v>
      </c>
      <c r="C2" s="2" t="s">
        <v>782</v>
      </c>
      <c r="D2" s="37" t="s">
        <v>239</v>
      </c>
      <c r="E2" s="36" t="s">
        <v>689</v>
      </c>
      <c r="F2" s="36">
        <v>29</v>
      </c>
      <c r="G2" s="2" t="s">
        <v>235</v>
      </c>
      <c r="H2" s="36" t="s">
        <v>237</v>
      </c>
      <c r="I2" s="36" t="s">
        <v>237</v>
      </c>
      <c r="J2" s="36" t="s">
        <v>237</v>
      </c>
      <c r="K2" s="36" t="s">
        <v>237</v>
      </c>
      <c r="L2" s="36" t="s">
        <v>237</v>
      </c>
      <c r="M2" s="36" t="s">
        <v>239</v>
      </c>
      <c r="N2" s="30" t="s">
        <v>695</v>
      </c>
      <c r="O2" s="36" t="s">
        <v>696</v>
      </c>
      <c r="P2" s="2" t="s">
        <v>247</v>
      </c>
      <c r="Q2" s="36">
        <v>1223568</v>
      </c>
      <c r="R2" s="2">
        <v>48</v>
      </c>
      <c r="S2" s="2"/>
      <c r="T2" s="36">
        <v>0</v>
      </c>
      <c r="U2" s="36">
        <v>0</v>
      </c>
      <c r="V2" s="36">
        <v>0</v>
      </c>
      <c r="W2" s="36">
        <v>0</v>
      </c>
      <c r="X2" s="36">
        <v>0</v>
      </c>
      <c r="Y2" s="36">
        <v>0</v>
      </c>
      <c r="Z2" s="36">
        <v>0</v>
      </c>
      <c r="AA2" s="36">
        <v>0</v>
      </c>
      <c r="AB2" s="36">
        <v>0</v>
      </c>
      <c r="AC2" s="36">
        <v>0</v>
      </c>
      <c r="AD2" s="36">
        <v>0</v>
      </c>
      <c r="AE2" s="39">
        <f t="shared" ref="AE2:AE5" si="0">SUM(T2:AD2)</f>
        <v>0</v>
      </c>
      <c r="AF2" s="36">
        <v>0</v>
      </c>
      <c r="AG2" s="36">
        <v>0</v>
      </c>
      <c r="AH2" s="36">
        <v>0</v>
      </c>
      <c r="AI2" s="36">
        <v>0</v>
      </c>
      <c r="AJ2" s="36">
        <v>0</v>
      </c>
      <c r="AK2" s="36">
        <v>0</v>
      </c>
      <c r="AL2" s="36">
        <v>0</v>
      </c>
      <c r="AM2" s="36">
        <v>0</v>
      </c>
      <c r="AN2" s="36">
        <v>0</v>
      </c>
      <c r="AO2" s="36">
        <v>0</v>
      </c>
      <c r="AP2" s="36">
        <v>0</v>
      </c>
      <c r="AQ2" s="36">
        <v>0</v>
      </c>
      <c r="AR2" s="36">
        <v>0</v>
      </c>
      <c r="AS2" s="36">
        <v>0</v>
      </c>
      <c r="AT2" s="36">
        <v>0</v>
      </c>
      <c r="AU2" s="36">
        <v>0</v>
      </c>
      <c r="AV2" s="36">
        <v>0</v>
      </c>
      <c r="AW2" s="40">
        <f t="shared" ref="AW2:AW7" si="1">SUM(AF2:AV2)</f>
        <v>0</v>
      </c>
      <c r="AX2" s="36">
        <v>2</v>
      </c>
      <c r="AY2" s="36">
        <v>1</v>
      </c>
      <c r="AZ2" s="36">
        <v>30</v>
      </c>
      <c r="BA2" s="36">
        <f t="shared" ref="BA2:BA5" si="2">8*(AX2*(AY2*60+AZ2))</f>
        <v>1440</v>
      </c>
      <c r="BB2" s="36">
        <v>0</v>
      </c>
      <c r="BC2" s="36">
        <v>0</v>
      </c>
      <c r="BD2" s="36">
        <v>0</v>
      </c>
      <c r="BE2" s="36">
        <f t="shared" ref="BE2:BE5" si="3">4*(BB2*(BC2*60+BD2))</f>
        <v>0</v>
      </c>
      <c r="BF2" s="36">
        <v>7</v>
      </c>
      <c r="BG2" s="36">
        <v>0</v>
      </c>
      <c r="BH2" s="36">
        <v>15</v>
      </c>
      <c r="BI2" s="36">
        <f t="shared" ref="BI2:BI5" si="4">3.3*(BF2*(BG2*60+BH2))</f>
        <v>346.5</v>
      </c>
      <c r="BJ2" s="36">
        <v>12</v>
      </c>
      <c r="BK2" s="36">
        <v>0</v>
      </c>
      <c r="BL2" s="36">
        <f t="shared" ref="BL2:BL5" si="5">1*(7*(BJ2*60+BK2))</f>
        <v>5040</v>
      </c>
      <c r="BM2" s="33">
        <f t="shared" ref="BM2:BM5" si="6">BA2+BE2+BI2</f>
        <v>1786.5</v>
      </c>
      <c r="BN2" s="41" t="s">
        <v>697</v>
      </c>
      <c r="BO2" s="35" t="s">
        <v>783</v>
      </c>
      <c r="BP2" s="30"/>
      <c r="CG2" s="31">
        <f t="shared" ref="CG2:CG5" si="7">SUM(BV2:CF2)</f>
        <v>0</v>
      </c>
      <c r="CY2" s="32">
        <f t="shared" ref="CY2:CY5" si="8">SUM(CH2:CX2)</f>
        <v>0</v>
      </c>
      <c r="DC2" s="36">
        <f t="shared" ref="DC2:DC5" si="9">8*(CZ2*(DA2*60+DB2))</f>
        <v>0</v>
      </c>
      <c r="DG2" s="36">
        <f t="shared" ref="DG2:DG5" si="10">4*(DD2*(DE2*60+DF2))</f>
        <v>0</v>
      </c>
      <c r="DK2" s="36">
        <f t="shared" ref="DK2:DK5" si="11">3.3*(DH2*(DI2*60+DJ2))</f>
        <v>0</v>
      </c>
      <c r="DN2" s="36">
        <f t="shared" ref="DN2:DN5" si="12">1*(7*(DL2*60+DM2))</f>
        <v>0</v>
      </c>
      <c r="DO2" s="33">
        <f t="shared" ref="DO2:DO5" si="13">DC2+DG2+DK2</f>
        <v>0</v>
      </c>
      <c r="DP2" s="33"/>
      <c r="DQ2" s="34"/>
      <c r="DR2" s="30"/>
      <c r="EI2" s="31">
        <f t="shared" ref="EI2:EI5" si="14">SUM(DX2:EH2)</f>
        <v>0</v>
      </c>
      <c r="FA2" s="32">
        <f t="shared" ref="FA2:FA5" si="15">SUM(EJ2:EZ2)</f>
        <v>0</v>
      </c>
      <c r="FE2" s="36">
        <f t="shared" ref="FE2:FE5" si="16">8*(FB2*(FC2*60+FD2))</f>
        <v>0</v>
      </c>
      <c r="FI2" s="36">
        <f t="shared" ref="FI2:FI3" si="17">4*(FF2*(FG2*60+FH2))</f>
        <v>0</v>
      </c>
      <c r="FM2" s="36">
        <f t="shared" ref="FM2:FM3" si="18">3.3*(FJ2*(FK2*60+FL2))</f>
        <v>0</v>
      </c>
      <c r="FP2" s="36">
        <f t="shared" ref="FP2:FP5" si="19">1*(7*(FN2*60+FO2))</f>
        <v>0</v>
      </c>
      <c r="FQ2" s="33">
        <f t="shared" ref="FQ2:FQ5" si="20">FE2+FI2+FM2</f>
        <v>0</v>
      </c>
      <c r="FR2" s="33"/>
      <c r="FS2" s="34"/>
      <c r="FT2" s="30"/>
      <c r="GK2" s="31">
        <f t="shared" ref="GK2:GK5" si="21">SUM(FZ2:GJ2)</f>
        <v>0</v>
      </c>
      <c r="HC2" s="32">
        <f t="shared" ref="HC2:HC5" si="22">SUM(GL2:HB2)</f>
        <v>0</v>
      </c>
      <c r="HG2" s="36">
        <f t="shared" ref="HG2:HG5" si="23">8*(HD2*(HE2*60+HF2))</f>
        <v>0</v>
      </c>
      <c r="HK2" s="36">
        <f t="shared" ref="HK2:HK5" si="24">4*(HH2*(HI2*60+HJ2))</f>
        <v>0</v>
      </c>
      <c r="HO2" s="36">
        <f t="shared" ref="HO2:HO5" si="25">3.3*(HL2*(HM2*60+HN2))</f>
        <v>0</v>
      </c>
      <c r="HR2" s="36">
        <f t="shared" ref="HR2:HR5" si="26">1*(7*(HP2*60+HQ2))</f>
        <v>0</v>
      </c>
      <c r="HS2" s="33">
        <f t="shared" ref="HS2:HS5" si="27">HG2+HK2+HO2</f>
        <v>0</v>
      </c>
      <c r="HT2" s="33"/>
      <c r="HU2" s="35"/>
      <c r="HV2" s="36" t="s">
        <v>239</v>
      </c>
      <c r="HW2" s="36" t="s">
        <v>239</v>
      </c>
    </row>
    <row r="3" spans="1:231" s="36" customFormat="1" ht="97.5" customHeight="1">
      <c r="A3" s="36" t="s">
        <v>231</v>
      </c>
      <c r="B3" s="38" t="s">
        <v>454</v>
      </c>
      <c r="C3" s="2" t="s">
        <v>784</v>
      </c>
      <c r="D3" s="37">
        <v>4829136</v>
      </c>
      <c r="E3" s="36" t="s">
        <v>785</v>
      </c>
      <c r="F3" s="36">
        <v>48</v>
      </c>
      <c r="G3" s="36" t="s">
        <v>235</v>
      </c>
      <c r="H3" s="36" t="s">
        <v>237</v>
      </c>
      <c r="I3" s="36" t="s">
        <v>237</v>
      </c>
      <c r="J3" s="36" t="s">
        <v>786</v>
      </c>
      <c r="K3" s="2" t="s">
        <v>787</v>
      </c>
      <c r="L3" s="2" t="s">
        <v>788</v>
      </c>
      <c r="M3" s="2" t="s">
        <v>239</v>
      </c>
      <c r="N3" s="30" t="s">
        <v>789</v>
      </c>
      <c r="O3" s="52">
        <v>0.4861111111111111</v>
      </c>
      <c r="P3" s="36" t="s">
        <v>242</v>
      </c>
      <c r="Q3" s="53" t="s">
        <v>790</v>
      </c>
      <c r="R3" s="2">
        <v>44</v>
      </c>
      <c r="S3" s="2" t="s">
        <v>791</v>
      </c>
      <c r="T3" s="36">
        <v>3</v>
      </c>
      <c r="U3" s="36">
        <v>3</v>
      </c>
      <c r="V3" s="36">
        <v>1</v>
      </c>
      <c r="W3" s="36">
        <v>3</v>
      </c>
      <c r="X3" s="36">
        <v>0</v>
      </c>
      <c r="Y3" s="36">
        <v>6</v>
      </c>
      <c r="Z3" s="36">
        <v>2</v>
      </c>
      <c r="AA3" s="36">
        <v>2</v>
      </c>
      <c r="AB3" s="36">
        <v>0</v>
      </c>
      <c r="AC3" s="36">
        <v>3</v>
      </c>
      <c r="AD3" s="36">
        <v>1</v>
      </c>
      <c r="AE3" s="39">
        <f t="shared" si="0"/>
        <v>24</v>
      </c>
      <c r="AF3" s="36">
        <v>0</v>
      </c>
      <c r="AG3" s="36">
        <v>0</v>
      </c>
      <c r="AH3" s="36">
        <v>0</v>
      </c>
      <c r="AI3" s="36">
        <v>2</v>
      </c>
      <c r="AJ3" s="36">
        <v>2</v>
      </c>
      <c r="AK3" s="36">
        <v>0</v>
      </c>
      <c r="AL3" s="36">
        <v>0</v>
      </c>
      <c r="AM3" s="36">
        <v>0</v>
      </c>
      <c r="AN3" s="36">
        <v>1</v>
      </c>
      <c r="AO3" s="36">
        <v>0</v>
      </c>
      <c r="AP3" s="36">
        <v>0</v>
      </c>
      <c r="AQ3" s="36">
        <v>0</v>
      </c>
      <c r="AR3" s="36">
        <v>0</v>
      </c>
      <c r="AS3" s="36">
        <v>0</v>
      </c>
      <c r="AT3" s="36">
        <v>0</v>
      </c>
      <c r="AU3" s="36">
        <v>0</v>
      </c>
      <c r="AV3" s="36">
        <v>1</v>
      </c>
      <c r="AW3" s="40">
        <f t="shared" si="1"/>
        <v>6</v>
      </c>
      <c r="AX3" s="36">
        <v>0</v>
      </c>
      <c r="AY3" s="36">
        <v>0</v>
      </c>
      <c r="AZ3" s="36">
        <v>0</v>
      </c>
      <c r="BA3" s="36">
        <f t="shared" si="2"/>
        <v>0</v>
      </c>
      <c r="BB3" s="36">
        <v>3</v>
      </c>
      <c r="BC3" s="36">
        <v>0</v>
      </c>
      <c r="BD3" s="36">
        <v>15</v>
      </c>
      <c r="BE3" s="36">
        <f t="shared" si="3"/>
        <v>180</v>
      </c>
      <c r="BF3" s="36">
        <v>7</v>
      </c>
      <c r="BG3" s="36">
        <v>0</v>
      </c>
      <c r="BH3" s="36">
        <v>15</v>
      </c>
      <c r="BI3" s="36">
        <f t="shared" si="4"/>
        <v>346.5</v>
      </c>
      <c r="BJ3" s="36">
        <v>4</v>
      </c>
      <c r="BK3" s="36">
        <v>0</v>
      </c>
      <c r="BL3" s="36">
        <f t="shared" si="5"/>
        <v>1680</v>
      </c>
      <c r="BM3" s="33">
        <f t="shared" si="6"/>
        <v>526.5</v>
      </c>
      <c r="BN3" s="33" t="s">
        <v>239</v>
      </c>
      <c r="BO3" s="34" t="s">
        <v>239</v>
      </c>
      <c r="BP3" s="30" t="s">
        <v>792</v>
      </c>
      <c r="BQ3" s="52">
        <v>0.6875</v>
      </c>
      <c r="BR3" s="61" t="s">
        <v>242</v>
      </c>
      <c r="BS3" s="2" t="s">
        <v>793</v>
      </c>
      <c r="BT3" s="36">
        <v>16</v>
      </c>
      <c r="BU3" s="2" t="s">
        <v>794</v>
      </c>
      <c r="BV3" s="36">
        <v>2</v>
      </c>
      <c r="BW3" s="36">
        <v>1</v>
      </c>
      <c r="BX3" s="36">
        <v>0</v>
      </c>
      <c r="BY3" s="36">
        <v>1</v>
      </c>
      <c r="BZ3" s="36">
        <v>0</v>
      </c>
      <c r="CA3" s="36">
        <v>2</v>
      </c>
      <c r="CB3" s="36">
        <v>2</v>
      </c>
      <c r="CC3" s="36">
        <v>2</v>
      </c>
      <c r="CD3" s="36">
        <v>0</v>
      </c>
      <c r="CE3" s="36">
        <v>2</v>
      </c>
      <c r="CF3" s="36">
        <v>2</v>
      </c>
      <c r="CG3" s="31">
        <f t="shared" si="7"/>
        <v>14</v>
      </c>
      <c r="CH3" s="36">
        <v>0</v>
      </c>
      <c r="CI3" s="36">
        <v>0</v>
      </c>
      <c r="CJ3" s="36">
        <v>0</v>
      </c>
      <c r="CK3" s="36">
        <v>1</v>
      </c>
      <c r="CL3" s="36">
        <v>1</v>
      </c>
      <c r="CM3" s="36">
        <v>0</v>
      </c>
      <c r="CN3" s="36">
        <v>0</v>
      </c>
      <c r="CO3" s="36">
        <v>0</v>
      </c>
      <c r="CP3" s="36">
        <v>0</v>
      </c>
      <c r="CQ3" s="36">
        <v>0</v>
      </c>
      <c r="CR3" s="36">
        <v>0</v>
      </c>
      <c r="CS3" s="36">
        <v>0</v>
      </c>
      <c r="CT3" s="36">
        <v>0</v>
      </c>
      <c r="CU3" s="36">
        <v>0</v>
      </c>
      <c r="CV3" s="36">
        <v>0</v>
      </c>
      <c r="CW3" s="36">
        <v>0</v>
      </c>
      <c r="CX3" s="36">
        <v>1</v>
      </c>
      <c r="CY3" s="32">
        <f t="shared" si="8"/>
        <v>3</v>
      </c>
      <c r="CZ3" s="36">
        <v>0</v>
      </c>
      <c r="DA3" s="36">
        <v>0</v>
      </c>
      <c r="DB3" s="36">
        <v>0</v>
      </c>
      <c r="DC3" s="36">
        <f t="shared" si="9"/>
        <v>0</v>
      </c>
      <c r="DD3" s="36">
        <v>6</v>
      </c>
      <c r="DE3" s="36">
        <v>0</v>
      </c>
      <c r="DF3" s="36">
        <v>30</v>
      </c>
      <c r="DG3" s="36">
        <f t="shared" si="10"/>
        <v>720</v>
      </c>
      <c r="DH3" s="36">
        <v>7</v>
      </c>
      <c r="DI3" s="36">
        <v>0</v>
      </c>
      <c r="DJ3" s="36">
        <v>30</v>
      </c>
      <c r="DK3" s="36">
        <f t="shared" si="11"/>
        <v>693</v>
      </c>
      <c r="DL3" s="36">
        <v>9</v>
      </c>
      <c r="DM3" s="36">
        <v>0</v>
      </c>
      <c r="DN3" s="36">
        <f t="shared" si="12"/>
        <v>3780</v>
      </c>
      <c r="DO3" s="33">
        <f t="shared" si="13"/>
        <v>1413</v>
      </c>
      <c r="DP3" s="33" t="s">
        <v>239</v>
      </c>
      <c r="DQ3" s="34"/>
      <c r="DR3" s="30"/>
      <c r="EI3" s="31">
        <f t="shared" si="14"/>
        <v>0</v>
      </c>
      <c r="FA3" s="32">
        <f t="shared" si="15"/>
        <v>0</v>
      </c>
      <c r="FE3" s="36">
        <f t="shared" si="16"/>
        <v>0</v>
      </c>
      <c r="FI3" s="36">
        <f t="shared" si="17"/>
        <v>0</v>
      </c>
      <c r="FM3" s="36">
        <f t="shared" si="18"/>
        <v>0</v>
      </c>
      <c r="FP3" s="36">
        <f t="shared" si="19"/>
        <v>0</v>
      </c>
      <c r="FQ3" s="33">
        <f t="shared" si="20"/>
        <v>0</v>
      </c>
      <c r="FR3" s="33"/>
      <c r="FS3" s="34"/>
      <c r="FT3" s="30"/>
      <c r="GK3" s="31">
        <f t="shared" si="21"/>
        <v>0</v>
      </c>
      <c r="HC3" s="32">
        <f t="shared" si="22"/>
        <v>0</v>
      </c>
      <c r="HG3" s="36">
        <f t="shared" si="23"/>
        <v>0</v>
      </c>
      <c r="HK3" s="36">
        <f t="shared" si="24"/>
        <v>0</v>
      </c>
      <c r="HO3" s="36">
        <f t="shared" si="25"/>
        <v>0</v>
      </c>
      <c r="HR3" s="36">
        <f t="shared" si="26"/>
        <v>0</v>
      </c>
      <c r="HS3" s="33">
        <f t="shared" si="27"/>
        <v>0</v>
      </c>
      <c r="HT3" s="33"/>
      <c r="HU3" s="35"/>
      <c r="HV3" s="36" t="s">
        <v>239</v>
      </c>
      <c r="HW3" s="36" t="s">
        <v>239</v>
      </c>
    </row>
    <row r="4" spans="1:231" s="36" customFormat="1" ht="97.5" customHeight="1">
      <c r="A4" s="36" t="s">
        <v>231</v>
      </c>
      <c r="B4" s="38" t="s">
        <v>795</v>
      </c>
      <c r="C4" s="2" t="s">
        <v>796</v>
      </c>
      <c r="D4" s="37">
        <v>5231378</v>
      </c>
      <c r="E4" s="36" t="s">
        <v>797</v>
      </c>
      <c r="F4" s="36">
        <v>47</v>
      </c>
      <c r="G4" s="36" t="s">
        <v>235</v>
      </c>
      <c r="H4" s="36" t="s">
        <v>798</v>
      </c>
      <c r="I4" s="36" t="s">
        <v>799</v>
      </c>
      <c r="J4" s="2" t="s">
        <v>800</v>
      </c>
      <c r="K4" s="2" t="s">
        <v>801</v>
      </c>
      <c r="L4" s="2" t="s">
        <v>802</v>
      </c>
      <c r="M4" s="2" t="s">
        <v>239</v>
      </c>
      <c r="N4" s="30" t="s">
        <v>291</v>
      </c>
      <c r="O4" s="52">
        <v>0.6875</v>
      </c>
      <c r="P4" s="28" t="s">
        <v>242</v>
      </c>
      <c r="Q4" s="28">
        <v>1387925</v>
      </c>
      <c r="R4" s="36">
        <v>43</v>
      </c>
      <c r="S4" s="2" t="s">
        <v>803</v>
      </c>
      <c r="T4" s="36">
        <v>1</v>
      </c>
      <c r="U4" s="36">
        <v>1</v>
      </c>
      <c r="V4" s="36">
        <v>3</v>
      </c>
      <c r="W4" s="36">
        <v>2</v>
      </c>
      <c r="X4" s="36">
        <v>0</v>
      </c>
      <c r="Y4" s="36">
        <v>2</v>
      </c>
      <c r="Z4" s="36">
        <v>1</v>
      </c>
      <c r="AA4" s="36">
        <v>4</v>
      </c>
      <c r="AB4" s="36">
        <v>0</v>
      </c>
      <c r="AC4" s="36">
        <v>3</v>
      </c>
      <c r="AD4" s="36">
        <v>2</v>
      </c>
      <c r="AE4" s="39">
        <f t="shared" si="0"/>
        <v>19</v>
      </c>
      <c r="AF4" s="36">
        <v>0</v>
      </c>
      <c r="AG4" s="36">
        <v>0</v>
      </c>
      <c r="AH4" s="36">
        <v>0</v>
      </c>
      <c r="AI4" s="36">
        <v>0</v>
      </c>
      <c r="AJ4" s="36">
        <v>1</v>
      </c>
      <c r="AK4" s="36">
        <v>2</v>
      </c>
      <c r="AL4" s="36">
        <v>0</v>
      </c>
      <c r="AM4" s="36">
        <v>1</v>
      </c>
      <c r="AN4" s="36">
        <v>0</v>
      </c>
      <c r="AO4" s="36">
        <v>0</v>
      </c>
      <c r="AP4" s="36">
        <v>0</v>
      </c>
      <c r="AQ4" s="36">
        <v>0</v>
      </c>
      <c r="AR4" s="36">
        <v>0</v>
      </c>
      <c r="AS4" s="36">
        <v>0</v>
      </c>
      <c r="AT4" s="36">
        <v>0</v>
      </c>
      <c r="AU4" s="36">
        <v>0</v>
      </c>
      <c r="AV4" s="36">
        <v>1</v>
      </c>
      <c r="AW4" s="40">
        <f t="shared" si="1"/>
        <v>5</v>
      </c>
      <c r="AX4" s="36">
        <v>7</v>
      </c>
      <c r="AY4" s="36">
        <v>0</v>
      </c>
      <c r="AZ4" s="36">
        <v>50</v>
      </c>
      <c r="BA4" s="36">
        <f t="shared" si="2"/>
        <v>2800</v>
      </c>
      <c r="BB4" s="36">
        <v>0</v>
      </c>
      <c r="BC4" s="36">
        <v>0</v>
      </c>
      <c r="BD4" s="36">
        <v>0</v>
      </c>
      <c r="BE4" s="36">
        <f t="shared" si="3"/>
        <v>0</v>
      </c>
      <c r="BF4" s="36">
        <v>7</v>
      </c>
      <c r="BG4" s="36">
        <v>2</v>
      </c>
      <c r="BH4" s="36">
        <v>0</v>
      </c>
      <c r="BI4" s="36">
        <f t="shared" si="4"/>
        <v>2772</v>
      </c>
      <c r="BJ4" s="36">
        <v>4</v>
      </c>
      <c r="BK4" s="36">
        <v>0</v>
      </c>
      <c r="BL4" s="36">
        <f t="shared" si="5"/>
        <v>1680</v>
      </c>
      <c r="BM4" s="33">
        <f t="shared" si="6"/>
        <v>5572</v>
      </c>
      <c r="BN4" s="33"/>
      <c r="BO4" s="35" t="s">
        <v>804</v>
      </c>
      <c r="BP4" s="30" t="s">
        <v>303</v>
      </c>
      <c r="BQ4" s="52">
        <v>0.50694444444444442</v>
      </c>
      <c r="BR4" s="28" t="s">
        <v>242</v>
      </c>
      <c r="BS4" s="2" t="s">
        <v>805</v>
      </c>
      <c r="BT4" s="2" t="s">
        <v>806</v>
      </c>
      <c r="BU4" s="54" t="s">
        <v>807</v>
      </c>
      <c r="BV4" s="36">
        <v>1</v>
      </c>
      <c r="BW4" s="36">
        <v>0</v>
      </c>
      <c r="BX4" s="36">
        <v>1</v>
      </c>
      <c r="BY4" s="36">
        <v>1</v>
      </c>
      <c r="BZ4" s="36">
        <v>0</v>
      </c>
      <c r="CA4" s="36">
        <v>2</v>
      </c>
      <c r="CB4" s="36">
        <v>0</v>
      </c>
      <c r="CC4" s="36">
        <v>4</v>
      </c>
      <c r="CD4" s="36">
        <v>0</v>
      </c>
      <c r="CE4" s="36">
        <v>2</v>
      </c>
      <c r="CF4" s="36">
        <v>1</v>
      </c>
      <c r="CG4" s="31">
        <f t="shared" si="7"/>
        <v>12</v>
      </c>
      <c r="CH4" s="36">
        <v>0</v>
      </c>
      <c r="CI4" s="36">
        <v>0</v>
      </c>
      <c r="CJ4" s="36">
        <v>0</v>
      </c>
      <c r="CK4" s="36">
        <v>2</v>
      </c>
      <c r="CL4" s="36">
        <v>0</v>
      </c>
      <c r="CM4" s="36">
        <v>0</v>
      </c>
      <c r="CN4" s="36">
        <v>0</v>
      </c>
      <c r="CO4" s="36">
        <v>0</v>
      </c>
      <c r="CP4" s="36">
        <v>0</v>
      </c>
      <c r="CQ4" s="36">
        <v>0</v>
      </c>
      <c r="CR4" s="36">
        <v>0</v>
      </c>
      <c r="CS4" s="36">
        <v>0</v>
      </c>
      <c r="CT4" s="36">
        <v>1</v>
      </c>
      <c r="CU4" s="36">
        <v>0</v>
      </c>
      <c r="CV4" s="36">
        <v>0</v>
      </c>
      <c r="CW4" s="36">
        <v>0</v>
      </c>
      <c r="CX4" s="36">
        <v>0</v>
      </c>
      <c r="CY4" s="32">
        <f t="shared" si="8"/>
        <v>3</v>
      </c>
      <c r="CZ4" s="36">
        <v>0</v>
      </c>
      <c r="DA4" s="36">
        <v>0</v>
      </c>
      <c r="DB4" s="36">
        <v>0</v>
      </c>
      <c r="DC4" s="36">
        <f t="shared" si="9"/>
        <v>0</v>
      </c>
      <c r="DD4" s="36">
        <v>3</v>
      </c>
      <c r="DE4" s="36">
        <v>0</v>
      </c>
      <c r="DF4" s="36">
        <v>10</v>
      </c>
      <c r="DG4" s="36">
        <f t="shared" si="10"/>
        <v>120</v>
      </c>
      <c r="DH4" s="36">
        <v>7</v>
      </c>
      <c r="DI4" s="36">
        <v>1</v>
      </c>
      <c r="DJ4" s="36">
        <v>0</v>
      </c>
      <c r="DK4" s="36">
        <f t="shared" si="11"/>
        <v>1386</v>
      </c>
      <c r="DL4" s="36">
        <v>9</v>
      </c>
      <c r="DM4" s="36">
        <v>0</v>
      </c>
      <c r="DN4" s="36">
        <f t="shared" si="12"/>
        <v>3780</v>
      </c>
      <c r="DO4" s="33">
        <f t="shared" si="13"/>
        <v>1506</v>
      </c>
      <c r="DP4" s="33"/>
      <c r="DQ4" s="34"/>
      <c r="DR4" s="30" t="s">
        <v>808</v>
      </c>
      <c r="DS4" s="52">
        <v>0.4861111111111111</v>
      </c>
      <c r="DT4" s="28" t="s">
        <v>247</v>
      </c>
      <c r="DU4" s="28">
        <v>1399678</v>
      </c>
      <c r="DV4" s="2" t="s">
        <v>809</v>
      </c>
      <c r="DW4" s="2" t="s">
        <v>810</v>
      </c>
      <c r="DX4" s="36">
        <v>0</v>
      </c>
      <c r="DY4" s="36">
        <v>0</v>
      </c>
      <c r="DZ4" s="36">
        <v>1</v>
      </c>
      <c r="EA4" s="36">
        <v>0</v>
      </c>
      <c r="EB4" s="36">
        <v>0</v>
      </c>
      <c r="EC4" s="36">
        <v>2</v>
      </c>
      <c r="ED4" s="36">
        <v>0</v>
      </c>
      <c r="EE4" s="36">
        <v>0</v>
      </c>
      <c r="EF4" s="36">
        <v>0</v>
      </c>
      <c r="EG4" s="36">
        <v>1</v>
      </c>
      <c r="EH4" s="36">
        <v>1</v>
      </c>
      <c r="EI4" s="31">
        <f t="shared" si="14"/>
        <v>5</v>
      </c>
      <c r="EJ4" s="36">
        <v>0</v>
      </c>
      <c r="EK4" s="36">
        <v>0</v>
      </c>
      <c r="EL4" s="36">
        <v>0</v>
      </c>
      <c r="EM4" s="36">
        <v>0</v>
      </c>
      <c r="EN4" s="36">
        <v>0</v>
      </c>
      <c r="EO4" s="36">
        <v>0</v>
      </c>
      <c r="EP4" s="36">
        <v>0</v>
      </c>
      <c r="EQ4" s="36">
        <v>0</v>
      </c>
      <c r="ER4" s="36">
        <v>0</v>
      </c>
      <c r="ES4" s="36">
        <v>0</v>
      </c>
      <c r="ET4" s="36">
        <v>0</v>
      </c>
      <c r="EU4" s="36">
        <v>0</v>
      </c>
      <c r="EV4" s="36">
        <v>0</v>
      </c>
      <c r="EW4" s="36">
        <v>0</v>
      </c>
      <c r="EX4" s="36">
        <v>0</v>
      </c>
      <c r="EY4" s="36">
        <v>0</v>
      </c>
      <c r="EZ4" s="36">
        <v>1</v>
      </c>
      <c r="FA4" s="32">
        <f t="shared" si="15"/>
        <v>1</v>
      </c>
      <c r="FB4" s="36">
        <v>0</v>
      </c>
      <c r="FC4" s="36">
        <v>0</v>
      </c>
      <c r="FD4" s="36">
        <v>0</v>
      </c>
      <c r="FE4" s="36">
        <f t="shared" si="16"/>
        <v>0</v>
      </c>
      <c r="FF4" s="36">
        <v>4</v>
      </c>
      <c r="FG4" s="36">
        <v>0</v>
      </c>
      <c r="FH4" s="36">
        <v>10</v>
      </c>
      <c r="FI4" s="36">
        <f>4*(FF4*(FG4*60+FH4))</f>
        <v>160</v>
      </c>
      <c r="FJ4" s="36">
        <v>7</v>
      </c>
      <c r="FK4" s="36">
        <v>0</v>
      </c>
      <c r="FL4" s="36">
        <v>20</v>
      </c>
      <c r="FM4" s="36">
        <f>3.3*(FJ4*(FK4*60+FL4))</f>
        <v>462</v>
      </c>
      <c r="FN4" s="36">
        <v>10</v>
      </c>
      <c r="FO4" s="36">
        <v>0</v>
      </c>
      <c r="FP4" s="36">
        <f t="shared" si="19"/>
        <v>4200</v>
      </c>
      <c r="FQ4" s="33">
        <f t="shared" si="20"/>
        <v>622</v>
      </c>
      <c r="FR4" s="33"/>
      <c r="FS4" s="34"/>
      <c r="FT4" s="30"/>
      <c r="GK4" s="31">
        <f t="shared" si="21"/>
        <v>0</v>
      </c>
      <c r="HC4" s="32">
        <f t="shared" si="22"/>
        <v>0</v>
      </c>
      <c r="HG4" s="36">
        <f t="shared" si="23"/>
        <v>0</v>
      </c>
      <c r="HK4" s="36">
        <f t="shared" si="24"/>
        <v>0</v>
      </c>
      <c r="HO4" s="36">
        <f t="shared" si="25"/>
        <v>0</v>
      </c>
      <c r="HR4" s="36">
        <f t="shared" si="26"/>
        <v>0</v>
      </c>
      <c r="HS4" s="33">
        <f t="shared" si="27"/>
        <v>0</v>
      </c>
      <c r="HT4" s="33"/>
      <c r="HU4" s="35"/>
      <c r="HV4" s="36" t="s">
        <v>239</v>
      </c>
      <c r="HW4" s="36" t="s">
        <v>239</v>
      </c>
    </row>
    <row r="5" spans="1:231" s="72" customFormat="1" ht="97.5" customHeight="1">
      <c r="A5" s="72" t="s">
        <v>231</v>
      </c>
      <c r="B5" s="72" t="s">
        <v>375</v>
      </c>
      <c r="C5" s="73" t="s">
        <v>811</v>
      </c>
      <c r="D5" s="73">
        <v>5449488</v>
      </c>
      <c r="E5" s="72" t="s">
        <v>812</v>
      </c>
      <c r="F5" s="72">
        <v>60</v>
      </c>
      <c r="G5" s="72" t="s">
        <v>300</v>
      </c>
      <c r="H5" s="72" t="s">
        <v>237</v>
      </c>
      <c r="I5" s="72" t="s">
        <v>237</v>
      </c>
      <c r="J5" s="72" t="s">
        <v>237</v>
      </c>
      <c r="K5" s="72" t="s">
        <v>556</v>
      </c>
      <c r="L5" s="73" t="s">
        <v>813</v>
      </c>
      <c r="M5" s="73" t="s">
        <v>239</v>
      </c>
      <c r="N5" s="72" t="s">
        <v>814</v>
      </c>
      <c r="O5" s="74">
        <v>0.47916666666666669</v>
      </c>
      <c r="P5" s="75" t="s">
        <v>242</v>
      </c>
      <c r="Q5" s="76">
        <v>1403343</v>
      </c>
      <c r="R5" s="72">
        <v>45</v>
      </c>
      <c r="S5" s="73" t="s">
        <v>815</v>
      </c>
      <c r="T5" s="72">
        <v>0</v>
      </c>
      <c r="U5" s="72">
        <v>0</v>
      </c>
      <c r="V5" s="72">
        <v>0</v>
      </c>
      <c r="W5" s="72">
        <v>2</v>
      </c>
      <c r="X5" s="72">
        <v>0</v>
      </c>
      <c r="Y5" s="72">
        <v>0</v>
      </c>
      <c r="Z5" s="72">
        <v>0</v>
      </c>
      <c r="AA5" s="72">
        <v>0</v>
      </c>
      <c r="AB5" s="72">
        <v>0</v>
      </c>
      <c r="AC5" s="72">
        <v>0</v>
      </c>
      <c r="AD5" s="72">
        <v>0</v>
      </c>
      <c r="AE5" s="73">
        <f t="shared" si="0"/>
        <v>2</v>
      </c>
      <c r="AF5" s="72">
        <v>1</v>
      </c>
      <c r="AG5" s="72">
        <v>0</v>
      </c>
      <c r="AH5" s="72">
        <v>0</v>
      </c>
      <c r="AI5" s="72">
        <v>2</v>
      </c>
      <c r="AJ5" s="72">
        <v>0</v>
      </c>
      <c r="AK5" s="72">
        <v>0</v>
      </c>
      <c r="AL5" s="72">
        <v>1</v>
      </c>
      <c r="AM5" s="72">
        <v>1</v>
      </c>
      <c r="AN5" s="72">
        <v>0</v>
      </c>
      <c r="AO5" s="72">
        <v>2</v>
      </c>
      <c r="AP5" s="72">
        <v>0</v>
      </c>
      <c r="AQ5" s="72">
        <v>0</v>
      </c>
      <c r="AR5" s="72">
        <v>1</v>
      </c>
      <c r="AS5" s="72">
        <v>0</v>
      </c>
      <c r="AT5" s="72">
        <v>0</v>
      </c>
      <c r="AU5" s="72">
        <v>0</v>
      </c>
      <c r="AV5" s="72">
        <v>0</v>
      </c>
      <c r="AW5" s="73">
        <f t="shared" si="1"/>
        <v>8</v>
      </c>
      <c r="AX5" s="72">
        <v>0</v>
      </c>
      <c r="AY5" s="72">
        <v>0</v>
      </c>
      <c r="AZ5" s="72">
        <v>0</v>
      </c>
      <c r="BA5" s="72">
        <f t="shared" si="2"/>
        <v>0</v>
      </c>
      <c r="BB5" s="72">
        <v>1</v>
      </c>
      <c r="BC5" s="72">
        <v>2</v>
      </c>
      <c r="BD5" s="72">
        <v>0</v>
      </c>
      <c r="BE5" s="72">
        <f t="shared" si="3"/>
        <v>480</v>
      </c>
      <c r="BF5" s="72">
        <v>2</v>
      </c>
      <c r="BG5" s="72">
        <v>1</v>
      </c>
      <c r="BH5" s="72">
        <v>15</v>
      </c>
      <c r="BI5" s="72">
        <f t="shared" si="4"/>
        <v>495</v>
      </c>
      <c r="BJ5" s="72">
        <v>8</v>
      </c>
      <c r="BK5" s="72">
        <v>0</v>
      </c>
      <c r="BL5" s="72">
        <f t="shared" si="5"/>
        <v>3360</v>
      </c>
      <c r="BM5" s="72">
        <f t="shared" si="6"/>
        <v>975</v>
      </c>
      <c r="CG5" s="72">
        <f t="shared" si="7"/>
        <v>0</v>
      </c>
      <c r="CY5" s="72">
        <f t="shared" si="8"/>
        <v>0</v>
      </c>
      <c r="DC5" s="72">
        <f t="shared" si="9"/>
        <v>0</v>
      </c>
      <c r="DG5" s="72">
        <f t="shared" si="10"/>
        <v>0</v>
      </c>
      <c r="DK5" s="72">
        <f t="shared" si="11"/>
        <v>0</v>
      </c>
      <c r="DN5" s="72">
        <f t="shared" si="12"/>
        <v>0</v>
      </c>
      <c r="DO5" s="72">
        <f t="shared" si="13"/>
        <v>0</v>
      </c>
      <c r="EI5" s="72">
        <f t="shared" si="14"/>
        <v>0</v>
      </c>
      <c r="FA5" s="72">
        <f t="shared" si="15"/>
        <v>0</v>
      </c>
      <c r="FE5" s="72">
        <f t="shared" si="16"/>
        <v>0</v>
      </c>
      <c r="FI5" s="72">
        <f t="shared" ref="FI5" si="28">4*(FF5*(FG5*60+FH5))</f>
        <v>0</v>
      </c>
      <c r="FM5" s="72">
        <f t="shared" ref="FM5" si="29">3.3*(FJ5*(FK5*60+FL5))</f>
        <v>0</v>
      </c>
      <c r="FP5" s="72">
        <f t="shared" si="19"/>
        <v>0</v>
      </c>
      <c r="FQ5" s="72">
        <f t="shared" si="20"/>
        <v>0</v>
      </c>
      <c r="GK5" s="72">
        <f t="shared" si="21"/>
        <v>0</v>
      </c>
      <c r="HC5" s="72">
        <f t="shared" si="22"/>
        <v>0</v>
      </c>
      <c r="HG5" s="72">
        <f t="shared" si="23"/>
        <v>0</v>
      </c>
      <c r="HK5" s="72">
        <f t="shared" si="24"/>
        <v>0</v>
      </c>
      <c r="HO5" s="72">
        <f t="shared" si="25"/>
        <v>0</v>
      </c>
      <c r="HR5" s="72">
        <f t="shared" si="26"/>
        <v>0</v>
      </c>
      <c r="HS5" s="72">
        <f t="shared" si="27"/>
        <v>0</v>
      </c>
      <c r="HU5" s="73"/>
      <c r="HV5" s="72" t="s">
        <v>239</v>
      </c>
      <c r="HW5" s="72" t="s">
        <v>239</v>
      </c>
    </row>
    <row r="6" spans="1:231" ht="97.5" customHeight="1">
      <c r="A6" s="71" t="s">
        <v>231</v>
      </c>
      <c r="B6" s="5" t="s">
        <v>454</v>
      </c>
      <c r="C6" s="4" t="s">
        <v>816</v>
      </c>
      <c r="D6" s="20">
        <v>4977776</v>
      </c>
      <c r="E6" s="4" t="s">
        <v>817</v>
      </c>
      <c r="F6" s="4">
        <v>29</v>
      </c>
      <c r="G6" s="4" t="s">
        <v>235</v>
      </c>
      <c r="H6" s="4" t="s">
        <v>818</v>
      </c>
      <c r="I6" s="4" t="s">
        <v>237</v>
      </c>
      <c r="J6" s="4" t="s">
        <v>237</v>
      </c>
      <c r="K6" s="4" t="s">
        <v>819</v>
      </c>
      <c r="L6" s="4" t="s">
        <v>820</v>
      </c>
      <c r="M6" s="4"/>
      <c r="N6" s="5" t="s">
        <v>821</v>
      </c>
      <c r="O6" s="4" t="s">
        <v>822</v>
      </c>
      <c r="P6" s="4" t="s">
        <v>242</v>
      </c>
      <c r="Q6" s="4">
        <v>1317191</v>
      </c>
      <c r="R6" s="4" t="s">
        <v>823</v>
      </c>
      <c r="S6" s="4" t="s">
        <v>824</v>
      </c>
      <c r="T6" s="4">
        <v>0</v>
      </c>
      <c r="U6" s="4">
        <v>0</v>
      </c>
      <c r="V6" s="4">
        <v>0</v>
      </c>
      <c r="W6" s="4">
        <v>2</v>
      </c>
      <c r="X6" s="4">
        <v>0</v>
      </c>
      <c r="Y6" s="4">
        <v>0</v>
      </c>
      <c r="Z6" s="4">
        <v>0</v>
      </c>
      <c r="AA6" s="4">
        <v>2</v>
      </c>
      <c r="AB6" s="4">
        <v>0</v>
      </c>
      <c r="AC6" s="4">
        <v>1</v>
      </c>
      <c r="AD6" s="4">
        <v>0</v>
      </c>
      <c r="AE6" s="39">
        <f>SUM(T6:AD6)</f>
        <v>5</v>
      </c>
      <c r="AF6" s="4">
        <v>4</v>
      </c>
      <c r="AG6" s="4">
        <v>2</v>
      </c>
      <c r="AH6" s="4">
        <v>0</v>
      </c>
      <c r="AI6" s="4">
        <v>1</v>
      </c>
      <c r="AJ6" s="4">
        <v>1</v>
      </c>
      <c r="AK6" s="4">
        <v>1</v>
      </c>
      <c r="AL6" s="4">
        <v>4</v>
      </c>
      <c r="AM6" s="4">
        <v>4</v>
      </c>
      <c r="AN6" s="4">
        <v>0</v>
      </c>
      <c r="AO6" s="4">
        <v>3</v>
      </c>
      <c r="AP6" s="4">
        <v>3</v>
      </c>
      <c r="AQ6" s="4">
        <v>2</v>
      </c>
      <c r="AR6" s="4">
        <v>2</v>
      </c>
      <c r="AS6" s="4">
        <v>3</v>
      </c>
      <c r="AT6" s="4">
        <v>2</v>
      </c>
      <c r="AU6" s="4">
        <v>0</v>
      </c>
      <c r="AV6" s="4">
        <v>1</v>
      </c>
      <c r="AW6" s="40">
        <f t="shared" si="1"/>
        <v>33</v>
      </c>
      <c r="AX6" s="6">
        <v>0</v>
      </c>
      <c r="AY6" s="6">
        <v>0</v>
      </c>
      <c r="AZ6" s="6">
        <v>0</v>
      </c>
      <c r="BA6" s="6">
        <f>8*(AX6*(AY6*60+AZ6))</f>
        <v>0</v>
      </c>
      <c r="BB6" s="6">
        <v>0</v>
      </c>
      <c r="BC6" s="6">
        <v>0</v>
      </c>
      <c r="BD6" s="6">
        <v>0</v>
      </c>
      <c r="BE6" s="36">
        <f>4*(BB6*(BC6*60+BD6))</f>
        <v>0</v>
      </c>
      <c r="BF6" s="6">
        <v>7</v>
      </c>
      <c r="BG6" s="6">
        <v>0</v>
      </c>
      <c r="BH6" s="6">
        <v>30</v>
      </c>
      <c r="BI6" s="6">
        <f>3.3*(BF6*(BG6*60+BH6))</f>
        <v>693</v>
      </c>
      <c r="BJ6" s="6">
        <v>15</v>
      </c>
      <c r="BK6" s="6">
        <v>0</v>
      </c>
      <c r="BL6" s="36">
        <f>1*(7*(BJ6*60+BK6))</f>
        <v>6300</v>
      </c>
      <c r="BM6" s="14">
        <f>BA6+BE6+BI6</f>
        <v>693</v>
      </c>
      <c r="BN6" s="15" t="s">
        <v>825</v>
      </c>
      <c r="BO6" s="18" t="s">
        <v>825</v>
      </c>
      <c r="BP6" s="5" t="s">
        <v>826</v>
      </c>
      <c r="BQ6" s="4" t="s">
        <v>827</v>
      </c>
      <c r="BR6" s="4" t="s">
        <v>242</v>
      </c>
      <c r="BS6" s="4">
        <v>1326940</v>
      </c>
      <c r="BT6" s="4">
        <v>41</v>
      </c>
      <c r="BU6" s="4" t="s">
        <v>828</v>
      </c>
      <c r="BV6" s="6">
        <v>0</v>
      </c>
      <c r="BW6" s="6">
        <v>0</v>
      </c>
      <c r="BX6" s="6">
        <v>0</v>
      </c>
      <c r="BY6" s="6">
        <v>0</v>
      </c>
      <c r="BZ6" s="6">
        <v>0</v>
      </c>
      <c r="CA6" s="6">
        <v>0</v>
      </c>
      <c r="CB6" s="6">
        <v>0</v>
      </c>
      <c r="CC6" s="6">
        <v>0</v>
      </c>
      <c r="CD6" s="6">
        <v>0</v>
      </c>
      <c r="CE6" s="6">
        <v>1</v>
      </c>
      <c r="CF6" s="6">
        <v>0</v>
      </c>
      <c r="CG6" s="11">
        <f>SUM(BV6:CF6)</f>
        <v>1</v>
      </c>
      <c r="CH6" s="6">
        <v>0</v>
      </c>
      <c r="CI6" s="6">
        <v>0</v>
      </c>
      <c r="CJ6" s="6">
        <v>0</v>
      </c>
      <c r="CK6" s="6">
        <v>0</v>
      </c>
      <c r="CL6" s="6">
        <v>2</v>
      </c>
      <c r="CM6" s="6">
        <v>1</v>
      </c>
      <c r="CN6" s="6">
        <v>4</v>
      </c>
      <c r="CO6" s="6">
        <v>2</v>
      </c>
      <c r="CP6" s="6">
        <v>1</v>
      </c>
      <c r="CQ6" s="6">
        <v>1</v>
      </c>
      <c r="CR6" s="6">
        <v>0</v>
      </c>
      <c r="CS6" s="6">
        <v>0</v>
      </c>
      <c r="CT6" s="6">
        <v>1</v>
      </c>
      <c r="CU6" s="6">
        <v>0</v>
      </c>
      <c r="CV6" s="6">
        <v>0</v>
      </c>
      <c r="CW6" s="6">
        <v>0</v>
      </c>
      <c r="CX6" s="6">
        <v>1</v>
      </c>
      <c r="CY6" s="8">
        <f>SUM(CH6:CX6)</f>
        <v>13</v>
      </c>
      <c r="DC6" s="6">
        <f>8*(CZ6*(DA6*60+DB6))</f>
        <v>0</v>
      </c>
      <c r="DG6" s="6">
        <f>4*(DD6*(DE6*60+DF6))</f>
        <v>0</v>
      </c>
      <c r="DK6" s="6">
        <f>3.3*(DH6*(DI6*60+DJ6))</f>
        <v>0</v>
      </c>
      <c r="DN6" s="6">
        <f>1*(7*(DL6*60+DM6))</f>
        <v>0</v>
      </c>
      <c r="DO6" s="14">
        <f>DC6+DG6+DK6</f>
        <v>0</v>
      </c>
      <c r="DP6" s="15" t="s">
        <v>829</v>
      </c>
      <c r="DQ6" s="18" t="s">
        <v>830</v>
      </c>
      <c r="EI6" s="31">
        <f>SUM(DX6:EH6)</f>
        <v>0</v>
      </c>
      <c r="FA6" s="32">
        <f>SUM(EJ6:EZ6)</f>
        <v>0</v>
      </c>
      <c r="FB6" s="6"/>
      <c r="FC6" s="6"/>
      <c r="FD6" s="6"/>
      <c r="FE6" s="6">
        <f>8*(FB6*(FC6*60+FD6))</f>
        <v>0</v>
      </c>
      <c r="FF6" s="6"/>
      <c r="FG6" s="6"/>
      <c r="FH6" s="6"/>
      <c r="FI6" s="36">
        <f>4*(FF6*(FG6*60+FH6))</f>
        <v>0</v>
      </c>
      <c r="FJ6" s="6"/>
      <c r="FK6" s="6"/>
      <c r="FL6" s="6"/>
      <c r="FM6" s="36">
        <f>3.3*(FJ6*(FK6*60+FL6))</f>
        <v>0</v>
      </c>
      <c r="FN6" s="6"/>
      <c r="FO6" s="6"/>
      <c r="FP6" s="6">
        <f>1*(7*(FN6*60+FO6))</f>
        <v>0</v>
      </c>
      <c r="FQ6" s="33">
        <f>FE6+FI6+FM6</f>
        <v>0</v>
      </c>
      <c r="GK6" s="11">
        <f>SUM(FZ6:GJ6)</f>
        <v>0</v>
      </c>
      <c r="HC6" s="8">
        <f>SUM(GL6:HB6)</f>
        <v>0</v>
      </c>
      <c r="HK6" s="36">
        <f>4*(HH6*(HI6*60+HJ6))</f>
        <v>0</v>
      </c>
      <c r="HO6" s="36">
        <f>3.3*(HL6*(HM6*60+HN6))</f>
        <v>0</v>
      </c>
      <c r="HS6" s="33">
        <f>HG6+HK6+HO6</f>
        <v>0</v>
      </c>
    </row>
    <row r="7" spans="1:231" ht="97.5" customHeight="1">
      <c r="A7" s="71" t="s">
        <v>231</v>
      </c>
      <c r="B7" s="5" t="s">
        <v>375</v>
      </c>
      <c r="C7" s="22" t="s">
        <v>831</v>
      </c>
      <c r="D7" s="20">
        <v>4977776</v>
      </c>
      <c r="E7" s="4" t="s">
        <v>817</v>
      </c>
      <c r="F7" s="4">
        <v>29</v>
      </c>
      <c r="G7" s="4" t="s">
        <v>235</v>
      </c>
      <c r="H7" s="4" t="s">
        <v>818</v>
      </c>
      <c r="I7" s="4" t="s">
        <v>237</v>
      </c>
      <c r="J7" s="4" t="s">
        <v>237</v>
      </c>
      <c r="K7" s="4" t="s">
        <v>819</v>
      </c>
      <c r="L7" s="22" t="s">
        <v>832</v>
      </c>
      <c r="M7" s="22"/>
      <c r="N7" s="5" t="s">
        <v>833</v>
      </c>
      <c r="O7" s="4" t="s">
        <v>834</v>
      </c>
      <c r="P7" s="4" t="s">
        <v>242</v>
      </c>
      <c r="Q7" s="4">
        <v>1338451</v>
      </c>
      <c r="R7" s="4" t="s">
        <v>823</v>
      </c>
      <c r="S7" s="4" t="s">
        <v>835</v>
      </c>
      <c r="T7" s="4"/>
      <c r="U7" s="4"/>
      <c r="V7" s="4"/>
      <c r="W7" s="4"/>
      <c r="X7" s="4"/>
      <c r="Y7" s="4"/>
      <c r="Z7" s="4"/>
      <c r="AA7" s="4"/>
      <c r="AB7" s="4"/>
      <c r="AC7" s="4"/>
      <c r="AD7" s="4"/>
      <c r="AE7" s="12">
        <f>SUM(T7:AD7)</f>
        <v>0</v>
      </c>
      <c r="AF7" s="4"/>
      <c r="AG7" s="4"/>
      <c r="AH7" s="4"/>
      <c r="AI7" s="4"/>
      <c r="AJ7" s="4"/>
      <c r="AK7" s="4"/>
      <c r="AL7" s="4"/>
      <c r="AM7" s="4"/>
      <c r="AN7" s="4"/>
      <c r="AO7" s="4"/>
      <c r="AP7" s="4"/>
      <c r="AQ7" s="4"/>
      <c r="AR7" s="4"/>
      <c r="AS7" s="4"/>
      <c r="AT7" s="4"/>
      <c r="AU7" s="4"/>
      <c r="AV7" s="4"/>
      <c r="AW7" s="40">
        <f t="shared" si="1"/>
        <v>0</v>
      </c>
      <c r="BA7" s="6">
        <f>8*(AX7*(AY7*60+AZ7))</f>
        <v>0</v>
      </c>
      <c r="BE7" s="6">
        <f>4*(BB7*(BC7*60+BD7))</f>
        <v>0</v>
      </c>
      <c r="BI7" s="6">
        <f>3.3*(BF7*(BG7*60+BH7))</f>
        <v>0</v>
      </c>
      <c r="BL7" s="36">
        <f>1*(7*(BJ7*60+BK7))</f>
        <v>0</v>
      </c>
      <c r="BM7" s="14">
        <f>BA7+BE7+BI7</f>
        <v>0</v>
      </c>
      <c r="BN7" s="15" t="s">
        <v>836</v>
      </c>
      <c r="BO7" s="18" t="s">
        <v>837</v>
      </c>
      <c r="BP7" s="5"/>
      <c r="BQ7" s="4"/>
      <c r="BR7" s="4"/>
      <c r="BS7" s="4"/>
      <c r="BT7" s="4"/>
      <c r="BU7" s="4"/>
      <c r="BV7" s="6"/>
      <c r="BW7" s="6"/>
      <c r="BX7" s="6"/>
      <c r="BY7" s="6"/>
      <c r="BZ7" s="6"/>
      <c r="CA7" s="6"/>
      <c r="CB7" s="6"/>
      <c r="CC7" s="6"/>
      <c r="CD7" s="6"/>
      <c r="CE7" s="6"/>
      <c r="CF7" s="6"/>
      <c r="CG7" s="11">
        <f>SUM(BV7:CF7)</f>
        <v>0</v>
      </c>
      <c r="CH7" s="6"/>
      <c r="CI7" s="6"/>
      <c r="CJ7" s="6"/>
      <c r="CK7" s="6"/>
      <c r="CL7" s="6"/>
      <c r="CM7" s="6"/>
      <c r="CN7" s="6"/>
      <c r="CO7" s="6"/>
      <c r="CP7" s="6"/>
      <c r="CQ7" s="6"/>
      <c r="CR7" s="6"/>
      <c r="CS7" s="6"/>
      <c r="CT7" s="6"/>
      <c r="CU7" s="6"/>
      <c r="CV7" s="6"/>
      <c r="CW7" s="6"/>
      <c r="CX7" s="6"/>
      <c r="CY7" s="8">
        <f>SUM(CH7:CX7)</f>
        <v>0</v>
      </c>
      <c r="DC7" s="6">
        <f>8*(CZ7*(DA7*60+DB7))</f>
        <v>0</v>
      </c>
      <c r="DG7" s="6">
        <f>4*(DD7*(DE7*60+DF7))</f>
        <v>0</v>
      </c>
      <c r="DK7" s="6">
        <f>3.3*(DH7*(DI7*60+DJ7))</f>
        <v>0</v>
      </c>
      <c r="DN7" s="6">
        <f>1*(7*(DL7*60+DM7))</f>
        <v>0</v>
      </c>
      <c r="DO7" s="14">
        <f>DC7+DG7+DK7</f>
        <v>0</v>
      </c>
      <c r="DP7" s="15"/>
      <c r="DQ7" s="18"/>
      <c r="EI7" s="31">
        <f>SUM(DX7:EH7)</f>
        <v>0</v>
      </c>
      <c r="FA7" s="32">
        <f>SUM(EJ7:EZ7)</f>
        <v>0</v>
      </c>
      <c r="FB7" s="6"/>
      <c r="FC7" s="6"/>
      <c r="FD7" s="6"/>
      <c r="FE7" s="6">
        <f>8*(FB7*(FC7*60+FD7))</f>
        <v>0</v>
      </c>
      <c r="FF7" s="6"/>
      <c r="FG7" s="6"/>
      <c r="FH7" s="6"/>
      <c r="FI7" s="36">
        <f>4*(FF7*(FG7*60+FH7))</f>
        <v>0</v>
      </c>
      <c r="FJ7" s="6"/>
      <c r="FK7" s="6"/>
      <c r="FL7" s="6"/>
      <c r="FM7" s="36">
        <f>3.3*(FJ7*(FK7*60+FL7))</f>
        <v>0</v>
      </c>
      <c r="FN7" s="6"/>
      <c r="FO7" s="6"/>
      <c r="FP7" s="6">
        <f>1*(7*(FN7*60+FO7))</f>
        <v>0</v>
      </c>
      <c r="FQ7" s="14">
        <f>FE7+FI7+FM7</f>
        <v>0</v>
      </c>
      <c r="GK7" s="11">
        <f>SUM(FZ7:GJ7)</f>
        <v>0</v>
      </c>
      <c r="HC7" s="8">
        <f>SUM(GL7:HB7)</f>
        <v>0</v>
      </c>
      <c r="HK7" s="36">
        <f>4*(HH7*(HI7*60+HJ7))</f>
        <v>0</v>
      </c>
      <c r="HO7" s="36">
        <f>3.3*(HL7*(HM7*60+HN7))</f>
        <v>0</v>
      </c>
    </row>
    <row r="8" spans="1:231" ht="97.5" customHeight="1">
      <c r="A8" s="71" t="s">
        <v>231</v>
      </c>
      <c r="B8" s="5" t="s">
        <v>838</v>
      </c>
      <c r="C8" s="22" t="s">
        <v>839</v>
      </c>
      <c r="D8" s="20">
        <v>5420255</v>
      </c>
      <c r="E8" s="4" t="s">
        <v>840</v>
      </c>
      <c r="F8" s="6">
        <v>26</v>
      </c>
      <c r="G8" s="4" t="s">
        <v>235</v>
      </c>
      <c r="H8" s="4" t="s">
        <v>841</v>
      </c>
      <c r="I8" s="4" t="s">
        <v>287</v>
      </c>
      <c r="J8" s="4" t="s">
        <v>288</v>
      </c>
      <c r="K8" s="4" t="s">
        <v>842</v>
      </c>
      <c r="L8" s="4" t="s">
        <v>843</v>
      </c>
      <c r="M8" s="4"/>
      <c r="N8" s="5" t="s">
        <v>435</v>
      </c>
      <c r="O8" s="4" t="s">
        <v>844</v>
      </c>
      <c r="P8" s="4" t="s">
        <v>242</v>
      </c>
      <c r="Q8" s="4">
        <v>1323502</v>
      </c>
      <c r="R8" s="22" t="s">
        <v>845</v>
      </c>
      <c r="S8" s="4" t="s">
        <v>846</v>
      </c>
      <c r="T8" s="6">
        <v>4</v>
      </c>
      <c r="U8" s="6">
        <v>4</v>
      </c>
      <c r="V8" s="6">
        <v>3</v>
      </c>
      <c r="W8" s="6">
        <v>3</v>
      </c>
      <c r="X8" s="6">
        <v>4</v>
      </c>
      <c r="Y8" s="6">
        <v>6</v>
      </c>
      <c r="Z8" s="6">
        <v>3</v>
      </c>
      <c r="AA8" s="6">
        <v>8</v>
      </c>
      <c r="AB8" s="6">
        <v>4</v>
      </c>
      <c r="AC8" s="6">
        <v>1</v>
      </c>
      <c r="AD8" s="6">
        <v>3</v>
      </c>
      <c r="AE8" s="12">
        <f>SUM(T8:AD8)</f>
        <v>43</v>
      </c>
      <c r="AF8" s="6">
        <v>0</v>
      </c>
      <c r="AG8" s="6">
        <v>0</v>
      </c>
      <c r="AH8" s="6">
        <v>0</v>
      </c>
      <c r="AI8" s="6">
        <v>2</v>
      </c>
      <c r="AJ8" s="6">
        <v>2</v>
      </c>
      <c r="AK8" s="6">
        <v>0</v>
      </c>
      <c r="AL8" s="6">
        <v>0</v>
      </c>
      <c r="AM8" s="6">
        <v>0</v>
      </c>
      <c r="AN8" s="6">
        <v>2</v>
      </c>
      <c r="AO8" s="6">
        <v>1</v>
      </c>
      <c r="AP8" s="6">
        <v>0</v>
      </c>
      <c r="AQ8" s="6">
        <v>0</v>
      </c>
      <c r="AR8" s="6">
        <v>0</v>
      </c>
      <c r="AS8" s="6">
        <v>0</v>
      </c>
      <c r="AT8" s="6">
        <v>0</v>
      </c>
      <c r="AU8" s="6">
        <v>0</v>
      </c>
      <c r="AV8" s="6">
        <v>1</v>
      </c>
      <c r="AW8" s="10">
        <f>SUM(AF8:AV8)</f>
        <v>8</v>
      </c>
      <c r="AX8" s="6">
        <v>7</v>
      </c>
      <c r="AY8" s="6">
        <v>4</v>
      </c>
      <c r="AZ8" s="6">
        <v>0</v>
      </c>
      <c r="BA8" s="6">
        <f>8*(AX8*(AY8*60+AZ8))</f>
        <v>13440</v>
      </c>
      <c r="BB8" s="6">
        <v>7</v>
      </c>
      <c r="BC8" s="6">
        <v>2</v>
      </c>
      <c r="BD8" s="6">
        <v>0</v>
      </c>
      <c r="BE8" s="6">
        <f>4*(BB8*(BC8*60+BD8))</f>
        <v>3360</v>
      </c>
      <c r="BF8" s="6">
        <v>7</v>
      </c>
      <c r="BG8" s="6">
        <v>6</v>
      </c>
      <c r="BH8" s="6">
        <v>0</v>
      </c>
      <c r="BI8" s="6">
        <f>3.3*(BF8*(BG8*60+BH8))</f>
        <v>8316</v>
      </c>
      <c r="BJ8" s="6">
        <v>4</v>
      </c>
      <c r="BK8" s="6">
        <v>0</v>
      </c>
      <c r="BL8" s="36">
        <f>1*(7*(BJ8*60+BK8))</f>
        <v>1680</v>
      </c>
      <c r="BM8" s="14">
        <f>BA8+BE8+BI8</f>
        <v>25116</v>
      </c>
      <c r="BN8" s="15" t="s">
        <v>847</v>
      </c>
      <c r="BO8" s="18" t="s">
        <v>848</v>
      </c>
      <c r="BP8" s="23" t="s">
        <v>849</v>
      </c>
      <c r="CG8" s="11">
        <f>SUM(BV8:CF8)</f>
        <v>0</v>
      </c>
      <c r="CH8" s="6"/>
      <c r="CI8" s="6"/>
      <c r="CJ8" s="6"/>
      <c r="CK8" s="6"/>
      <c r="CL8" s="6"/>
      <c r="CM8" s="6"/>
      <c r="CN8" s="6"/>
      <c r="CO8" s="6"/>
      <c r="CP8" s="6"/>
      <c r="CQ8" s="6"/>
      <c r="CR8" s="6"/>
      <c r="CS8" s="6"/>
      <c r="CT8" s="6"/>
      <c r="CU8" s="6"/>
      <c r="CV8" s="6"/>
      <c r="CW8" s="6"/>
      <c r="CX8" s="6"/>
      <c r="CY8" s="8">
        <f>SUM(CH8:CX8)</f>
        <v>0</v>
      </c>
      <c r="DC8" s="6">
        <f>8*(CZ8*(DA8*60+DB8))</f>
        <v>0</v>
      </c>
      <c r="DG8" s="6">
        <f>4*(DD8*(DE8*60+DF8))</f>
        <v>0</v>
      </c>
      <c r="DK8" s="6">
        <f>3.3*(DH8*(DI8*60+DJ8))</f>
        <v>0</v>
      </c>
      <c r="DN8" s="6">
        <f>1*(7*(DL8*60+DM8))</f>
        <v>0</v>
      </c>
      <c r="DO8" s="14">
        <f>DC8+DG8+DK8</f>
        <v>0</v>
      </c>
      <c r="EI8" s="31">
        <f>SUM(DX8:EH8)</f>
        <v>0</v>
      </c>
      <c r="FA8" s="8">
        <f>SUM(EJ8:EZ8)</f>
        <v>0</v>
      </c>
      <c r="FB8" s="6"/>
      <c r="FC8" s="6"/>
      <c r="FD8" s="6"/>
      <c r="FE8" s="6">
        <f>8*(FB8*(FC8*60+FD8))</f>
        <v>0</v>
      </c>
      <c r="FF8" s="6"/>
      <c r="FG8" s="6"/>
      <c r="FH8" s="6"/>
      <c r="FI8" s="6">
        <f>4*(FF8*(FG8*60+FH8))</f>
        <v>0</v>
      </c>
      <c r="FJ8" s="6"/>
      <c r="FK8" s="6"/>
      <c r="FL8" s="6"/>
      <c r="FM8" s="36">
        <f>3.3*(FJ8*(FK8*60+FL8))</f>
        <v>0</v>
      </c>
      <c r="FN8" s="6"/>
      <c r="FO8" s="6"/>
      <c r="FP8" s="6">
        <f>1*(7*(FN8*60+FO8))</f>
        <v>0</v>
      </c>
      <c r="FQ8" s="14">
        <f>FE8+FI8+FM8</f>
        <v>0</v>
      </c>
      <c r="GK8" s="11">
        <f>SUM(FZ8:GJ8)</f>
        <v>0</v>
      </c>
      <c r="HC8" s="8">
        <f>SUM(GL8:HB8)</f>
        <v>0</v>
      </c>
      <c r="HO8" s="36">
        <f>3.3*(HL8*(HM8*60+HN8))</f>
        <v>0</v>
      </c>
    </row>
    <row r="9" spans="1:231" s="6" customFormat="1" ht="97.5" customHeight="1">
      <c r="A9" s="71" t="s">
        <v>231</v>
      </c>
      <c r="B9" s="5" t="s">
        <v>454</v>
      </c>
      <c r="C9" s="4" t="s">
        <v>850</v>
      </c>
      <c r="D9" s="20">
        <v>4734044</v>
      </c>
      <c r="E9" s="6" t="s">
        <v>851</v>
      </c>
      <c r="F9" s="6">
        <v>36</v>
      </c>
      <c r="G9" s="4" t="s">
        <v>300</v>
      </c>
      <c r="H9" s="6" t="s">
        <v>852</v>
      </c>
      <c r="I9" s="4" t="s">
        <v>237</v>
      </c>
      <c r="J9" s="6" t="s">
        <v>237</v>
      </c>
      <c r="K9" s="4" t="s">
        <v>853</v>
      </c>
      <c r="L9" s="4" t="s">
        <v>854</v>
      </c>
      <c r="M9" s="4"/>
      <c r="N9" s="7" t="s">
        <v>855</v>
      </c>
      <c r="O9" s="6" t="s">
        <v>856</v>
      </c>
      <c r="P9" s="6" t="s">
        <v>242</v>
      </c>
      <c r="Q9" s="6">
        <v>1375352</v>
      </c>
      <c r="R9" s="4">
        <v>49</v>
      </c>
      <c r="S9" s="4" t="s">
        <v>857</v>
      </c>
      <c r="T9" s="6">
        <v>0</v>
      </c>
      <c r="U9" s="6">
        <v>0</v>
      </c>
      <c r="V9" s="6">
        <v>0</v>
      </c>
      <c r="W9" s="6">
        <v>1</v>
      </c>
      <c r="X9" s="6">
        <v>2</v>
      </c>
      <c r="Y9" s="6">
        <v>2</v>
      </c>
      <c r="Z9" s="6">
        <v>0</v>
      </c>
      <c r="AA9" s="6">
        <v>0</v>
      </c>
      <c r="AB9" s="6">
        <v>0</v>
      </c>
      <c r="AC9" s="6">
        <v>0</v>
      </c>
      <c r="AD9" s="6">
        <v>0</v>
      </c>
      <c r="AE9" s="12">
        <f>SUM(T9:AD9)</f>
        <v>5</v>
      </c>
      <c r="AF9" s="6">
        <v>0</v>
      </c>
      <c r="AG9" s="6">
        <v>0</v>
      </c>
      <c r="AH9" s="6">
        <v>0</v>
      </c>
      <c r="AI9" s="6">
        <v>0</v>
      </c>
      <c r="AJ9" s="6">
        <v>1</v>
      </c>
      <c r="AK9" s="6">
        <v>0</v>
      </c>
      <c r="AL9" s="6">
        <v>0</v>
      </c>
      <c r="AM9" s="6">
        <v>0</v>
      </c>
      <c r="AN9" s="6">
        <v>1</v>
      </c>
      <c r="AO9" s="6">
        <v>1</v>
      </c>
      <c r="AP9" s="6">
        <v>0</v>
      </c>
      <c r="AQ9" s="6">
        <v>0</v>
      </c>
      <c r="AR9" s="6">
        <v>0</v>
      </c>
      <c r="AS9" s="6">
        <v>0</v>
      </c>
      <c r="AT9" s="6">
        <v>0</v>
      </c>
      <c r="AU9" s="6">
        <v>0</v>
      </c>
      <c r="AV9" s="6">
        <v>0</v>
      </c>
      <c r="AW9" s="10">
        <f>SUM(AF9:AV9)</f>
        <v>3</v>
      </c>
      <c r="AX9" s="6">
        <v>0</v>
      </c>
      <c r="AY9" s="6">
        <v>0</v>
      </c>
      <c r="AZ9" s="6">
        <v>0</v>
      </c>
      <c r="BA9" s="6">
        <f>8*(AX9*(AY9*60+AZ9))</f>
        <v>0</v>
      </c>
      <c r="BB9" s="6">
        <v>0</v>
      </c>
      <c r="BC9" s="6">
        <v>0</v>
      </c>
      <c r="BD9" s="6">
        <v>0</v>
      </c>
      <c r="BE9" s="6">
        <f>4*(BB9*(BC9*60+BD9))</f>
        <v>0</v>
      </c>
      <c r="BF9" s="6">
        <v>3</v>
      </c>
      <c r="BG9" s="6">
        <v>0</v>
      </c>
      <c r="BH9" s="6">
        <v>30</v>
      </c>
      <c r="BI9" s="6">
        <f>3.3*(BF9*(BG9*60+BH9))</f>
        <v>297</v>
      </c>
      <c r="BJ9" s="6">
        <v>9</v>
      </c>
      <c r="BK9" s="6">
        <v>0</v>
      </c>
      <c r="BL9" s="36">
        <f>1*(7*(BJ9*60+BK9))</f>
        <v>3780</v>
      </c>
      <c r="BM9" s="14">
        <f>BA9+BE9+BI9</f>
        <v>297</v>
      </c>
      <c r="BN9" s="14" t="s">
        <v>239</v>
      </c>
      <c r="BO9" s="18" t="s">
        <v>858</v>
      </c>
      <c r="BP9" s="7" t="s">
        <v>859</v>
      </c>
      <c r="BQ9" s="27">
        <v>0.55555555555555558</v>
      </c>
      <c r="BR9" s="28" t="s">
        <v>247</v>
      </c>
      <c r="BS9" s="28">
        <v>1384130</v>
      </c>
      <c r="BT9" s="6">
        <v>54</v>
      </c>
      <c r="BU9" s="4" t="s">
        <v>860</v>
      </c>
      <c r="BV9" s="6">
        <v>1</v>
      </c>
      <c r="BW9" s="6">
        <v>1</v>
      </c>
      <c r="BX9" s="6">
        <v>0</v>
      </c>
      <c r="BY9" s="6">
        <v>0</v>
      </c>
      <c r="BZ9" s="6">
        <v>0</v>
      </c>
      <c r="CA9" s="6">
        <v>0</v>
      </c>
      <c r="CB9" s="6">
        <v>0</v>
      </c>
      <c r="CC9" s="6">
        <v>0</v>
      </c>
      <c r="CD9" s="6">
        <v>0</v>
      </c>
      <c r="CE9" s="6">
        <v>0</v>
      </c>
      <c r="CF9" s="6">
        <v>0</v>
      </c>
      <c r="CG9" s="11">
        <v>2</v>
      </c>
      <c r="CH9" s="6">
        <v>0</v>
      </c>
      <c r="CI9" s="6">
        <v>0</v>
      </c>
      <c r="CJ9" s="6">
        <v>0</v>
      </c>
      <c r="CK9" s="6">
        <v>1</v>
      </c>
      <c r="CL9" s="6">
        <v>0</v>
      </c>
      <c r="CM9" s="6">
        <v>0</v>
      </c>
      <c r="CN9" s="6">
        <v>0</v>
      </c>
      <c r="CO9" s="6">
        <v>0</v>
      </c>
      <c r="CP9" s="6">
        <v>0</v>
      </c>
      <c r="CQ9" s="6">
        <v>0</v>
      </c>
      <c r="CR9" s="6">
        <v>0</v>
      </c>
      <c r="CS9" s="6">
        <v>0</v>
      </c>
      <c r="CT9" s="6">
        <v>0</v>
      </c>
      <c r="CU9" s="6">
        <v>0</v>
      </c>
      <c r="CV9" s="6">
        <v>0</v>
      </c>
      <c r="CW9" s="6">
        <v>0</v>
      </c>
      <c r="CX9" s="6">
        <v>0</v>
      </c>
      <c r="CY9" s="8">
        <f>SUM(CH9:CX9)</f>
        <v>1</v>
      </c>
      <c r="CZ9" s="6">
        <v>0</v>
      </c>
      <c r="DA9" s="6">
        <v>0</v>
      </c>
      <c r="DB9" s="6">
        <v>0</v>
      </c>
      <c r="DC9" s="6">
        <f>8*(CZ9*(DA9*60+DB9))</f>
        <v>0</v>
      </c>
      <c r="DD9" s="6">
        <v>0</v>
      </c>
      <c r="DE9" s="6">
        <v>0</v>
      </c>
      <c r="DF9" s="6">
        <v>0</v>
      </c>
      <c r="DG9" s="6">
        <f>4*(DD9*(DE9*60+DF9))</f>
        <v>0</v>
      </c>
      <c r="DH9" s="6">
        <v>7</v>
      </c>
      <c r="DI9" s="6">
        <v>1</v>
      </c>
      <c r="DJ9" s="6">
        <v>30</v>
      </c>
      <c r="DK9" s="6">
        <f>3.3*(DH9*(DI9*60+DJ9))</f>
        <v>2079</v>
      </c>
      <c r="DL9" s="6">
        <v>6</v>
      </c>
      <c r="DM9" s="6">
        <v>0</v>
      </c>
      <c r="DN9" s="6">
        <f>1*(7*(DL9*60+DM9))</f>
        <v>2520</v>
      </c>
      <c r="DO9" s="14">
        <f>DC9+DG9+DK9</f>
        <v>2079</v>
      </c>
      <c r="DP9" s="15" t="s">
        <v>861</v>
      </c>
      <c r="DQ9" s="18" t="s">
        <v>862</v>
      </c>
      <c r="DR9" s="7"/>
      <c r="EI9" s="31">
        <f>SUM(DX9:EH9)</f>
        <v>0</v>
      </c>
      <c r="FA9" s="8"/>
      <c r="FM9" s="36">
        <f>3.3*(FJ9*(FK9*60+FL9))</f>
        <v>0</v>
      </c>
      <c r="FQ9" s="14"/>
      <c r="FR9" s="14"/>
      <c r="FS9" s="17"/>
      <c r="FT9" s="7"/>
      <c r="GK9" s="11"/>
      <c r="HC9" s="8"/>
      <c r="HO9" s="36">
        <f>3.3*(HL9*(HM9*60+HN9))</f>
        <v>0</v>
      </c>
      <c r="HS9" s="14"/>
      <c r="HT9" s="14"/>
      <c r="HU9" s="18"/>
    </row>
    <row r="10" spans="1:231" ht="97.5" customHeight="1">
      <c r="A10" s="71" t="s">
        <v>231</v>
      </c>
      <c r="B10" s="5" t="s">
        <v>838</v>
      </c>
      <c r="C10" s="25" t="s">
        <v>863</v>
      </c>
      <c r="D10" s="20">
        <v>70026243</v>
      </c>
      <c r="L10" s="4" t="s">
        <v>864</v>
      </c>
      <c r="M10" s="4"/>
      <c r="N10" s="5" t="s">
        <v>865</v>
      </c>
      <c r="O10" s="4" t="s">
        <v>866</v>
      </c>
      <c r="P10" s="4" t="s">
        <v>247</v>
      </c>
      <c r="Q10" s="4">
        <v>1335085</v>
      </c>
      <c r="R10" s="4">
        <v>45</v>
      </c>
      <c r="S10" s="4"/>
      <c r="AE10" s="12">
        <f t="shared" ref="AE10:AE27" si="30">SUM(T10:AD10)</f>
        <v>0</v>
      </c>
      <c r="AW10" s="10">
        <f>SUM(AF10:AV10)</f>
        <v>0</v>
      </c>
      <c r="BA10" s="6">
        <f t="shared" ref="BA10:BA37" si="31">8*(AX10*(AY10*60+AZ10))</f>
        <v>0</v>
      </c>
      <c r="BE10" s="6">
        <f t="shared" ref="BE10:BE25" si="32">4*(BB10*(BC10*60+BD10))</f>
        <v>0</v>
      </c>
      <c r="BI10" s="6">
        <f t="shared" ref="BI10:BI36" si="33">3.3*(BF10*(BG10*60+BH10))</f>
        <v>0</v>
      </c>
      <c r="BL10" s="36">
        <f>1*(7*(BJ10*60+BK10))</f>
        <v>0</v>
      </c>
      <c r="BM10" s="14">
        <f t="shared" ref="BM10:BM34" si="34">BA10+BE10+BI10</f>
        <v>0</v>
      </c>
      <c r="DC10" s="6">
        <f>8*(CZ10*(DA10*60+DB10))</f>
        <v>0</v>
      </c>
      <c r="DG10" s="6">
        <f>4*(DD10*(DE10*60+DF10))</f>
        <v>0</v>
      </c>
      <c r="DK10" s="6">
        <f>3.3*(DH10*(DI10*60+DJ10))</f>
        <v>0</v>
      </c>
      <c r="DN10" s="6">
        <f>1*(7*(DL10*60+DM10))</f>
        <v>0</v>
      </c>
      <c r="DO10" s="14">
        <f>DC10+DG10+DK10</f>
        <v>0</v>
      </c>
      <c r="FJ10" s="6"/>
      <c r="FK10" s="6"/>
      <c r="FL10" s="6"/>
      <c r="FM10" s="6"/>
      <c r="FN10" s="6"/>
      <c r="FO10" s="6"/>
      <c r="FP10" s="6"/>
      <c r="FQ10" s="14"/>
      <c r="HO10" s="36">
        <f>3.3*(HL10*(HM10*60+HN10))</f>
        <v>0</v>
      </c>
    </row>
    <row r="11" spans="1:231" ht="97.5" customHeight="1">
      <c r="A11" s="71" t="s">
        <v>231</v>
      </c>
      <c r="B11" s="5" t="s">
        <v>838</v>
      </c>
      <c r="C11" s="25" t="s">
        <v>863</v>
      </c>
      <c r="D11" s="20">
        <v>70026243</v>
      </c>
      <c r="L11" s="4" t="s">
        <v>867</v>
      </c>
      <c r="M11" s="4"/>
      <c r="N11" s="5" t="s">
        <v>868</v>
      </c>
      <c r="O11" s="4" t="s">
        <v>869</v>
      </c>
      <c r="P11" s="4" t="s">
        <v>242</v>
      </c>
      <c r="Q11" s="4">
        <v>1335100</v>
      </c>
      <c r="R11" s="4">
        <v>43</v>
      </c>
      <c r="AE11" s="12">
        <f t="shared" si="30"/>
        <v>0</v>
      </c>
      <c r="AW11" s="10">
        <f>SUM(AF11:AV11)</f>
        <v>0</v>
      </c>
      <c r="BA11" s="6">
        <f t="shared" si="31"/>
        <v>0</v>
      </c>
      <c r="BE11" s="6">
        <f t="shared" si="32"/>
        <v>0</v>
      </c>
      <c r="BI11" s="6">
        <f t="shared" si="33"/>
        <v>0</v>
      </c>
      <c r="BL11" s="36">
        <f>1*(7*(BJ11*60+BK11))</f>
        <v>0</v>
      </c>
      <c r="BM11" s="14">
        <f t="shared" si="34"/>
        <v>0</v>
      </c>
      <c r="DC11" s="6">
        <f>8*(CZ11*(DA11*60+DB11))</f>
        <v>0</v>
      </c>
      <c r="DG11" s="6">
        <f>4*(DD11*(DE11*60+DF11))</f>
        <v>0</v>
      </c>
      <c r="DK11" s="6">
        <f>3.3*(DH11*(DI11*60+DJ11))</f>
        <v>0</v>
      </c>
      <c r="DN11" s="6">
        <f>1*(7*(DL11*60+DM11))</f>
        <v>0</v>
      </c>
      <c r="DO11" s="14">
        <f>DC11+DG11+DK11</f>
        <v>0</v>
      </c>
      <c r="FJ11" s="6"/>
      <c r="FK11" s="6"/>
      <c r="FL11" s="6"/>
      <c r="FM11" s="6"/>
      <c r="FN11" s="6"/>
      <c r="FO11" s="6"/>
      <c r="FP11" s="6"/>
      <c r="FQ11" s="14"/>
    </row>
    <row r="12" spans="1:231">
      <c r="A12" s="36"/>
      <c r="B12" s="38"/>
      <c r="C12" s="2"/>
      <c r="D12" s="37"/>
      <c r="E12" s="36"/>
      <c r="F12" s="36"/>
      <c r="G12" s="36"/>
      <c r="H12" s="36"/>
      <c r="I12" s="36"/>
      <c r="J12" s="36"/>
      <c r="K12" s="2"/>
      <c r="L12" s="2"/>
      <c r="M12" s="2"/>
      <c r="N12" s="30"/>
      <c r="O12" s="52"/>
      <c r="P12" s="36"/>
      <c r="Q12" s="53"/>
      <c r="R12" s="2"/>
      <c r="S12" s="2"/>
      <c r="T12" s="36"/>
      <c r="U12" s="36"/>
      <c r="V12" s="36"/>
      <c r="W12" s="36"/>
      <c r="X12" s="36"/>
      <c r="Y12" s="36"/>
      <c r="Z12" s="36"/>
      <c r="AA12" s="36"/>
      <c r="AB12" s="36"/>
      <c r="AC12" s="36"/>
      <c r="AD12" s="36"/>
      <c r="AE12" s="12">
        <f t="shared" si="30"/>
        <v>0</v>
      </c>
      <c r="AF12" s="36"/>
      <c r="AG12" s="36"/>
      <c r="AH12" s="36"/>
      <c r="AI12" s="36"/>
      <c r="AJ12" s="36"/>
      <c r="AK12" s="36"/>
      <c r="AL12" s="36"/>
      <c r="AM12" s="36"/>
      <c r="AN12" s="36"/>
      <c r="AO12" s="36"/>
      <c r="AP12" s="36"/>
      <c r="AQ12" s="36"/>
      <c r="AR12" s="36"/>
      <c r="AS12" s="36"/>
      <c r="AT12" s="36"/>
      <c r="AU12" s="36"/>
      <c r="AV12" s="36"/>
      <c r="AW12" s="10">
        <f t="shared" ref="AW12:AW21" si="35">SUM(AF12:AV12)</f>
        <v>0</v>
      </c>
      <c r="AX12" s="36"/>
      <c r="AY12" s="36"/>
      <c r="AZ12" s="36"/>
      <c r="BA12" s="6">
        <f t="shared" si="31"/>
        <v>0</v>
      </c>
      <c r="BB12" s="36"/>
      <c r="BC12" s="36"/>
      <c r="BD12" s="36"/>
      <c r="BE12" s="6">
        <f t="shared" si="32"/>
        <v>0</v>
      </c>
      <c r="BF12" s="36"/>
      <c r="BG12" s="36"/>
      <c r="BH12" s="36"/>
      <c r="BI12" s="6">
        <f t="shared" si="33"/>
        <v>0</v>
      </c>
      <c r="BJ12" s="36"/>
      <c r="BK12" s="36"/>
      <c r="BL12" s="36">
        <f t="shared" ref="BL12:BL30" si="36">1*(7*(BJ12*60+BK12))</f>
        <v>0</v>
      </c>
      <c r="BM12" s="14">
        <f t="shared" si="34"/>
        <v>0</v>
      </c>
      <c r="BN12" s="33"/>
      <c r="BO12" s="34"/>
      <c r="BP12" s="30"/>
      <c r="BQ12" s="52"/>
      <c r="BR12" s="61"/>
      <c r="BS12" s="2"/>
      <c r="BT12" s="36"/>
      <c r="BU12" s="2"/>
      <c r="BV12" s="36"/>
      <c r="BW12" s="36"/>
      <c r="BX12" s="36"/>
      <c r="BY12" s="36"/>
      <c r="BZ12" s="36"/>
      <c r="CA12" s="36"/>
      <c r="CB12" s="36"/>
      <c r="CC12" s="36"/>
      <c r="CD12" s="36"/>
      <c r="CE12" s="36"/>
      <c r="CF12" s="36"/>
      <c r="CG12" s="31"/>
      <c r="CH12" s="36"/>
      <c r="CI12" s="36"/>
      <c r="CJ12" s="36"/>
      <c r="CK12" s="36"/>
      <c r="CL12" s="36"/>
      <c r="CM12" s="36"/>
      <c r="CN12" s="36"/>
      <c r="CO12" s="36"/>
      <c r="CP12" s="36"/>
      <c r="CQ12" s="36"/>
      <c r="CR12" s="36"/>
      <c r="CS12" s="36"/>
      <c r="CT12" s="36"/>
      <c r="CU12" s="36"/>
      <c r="CV12" s="36"/>
      <c r="CW12" s="36"/>
      <c r="CX12" s="36"/>
      <c r="CY12" s="32"/>
      <c r="CZ12" s="36"/>
      <c r="DA12" s="36"/>
      <c r="DB12" s="36"/>
      <c r="DC12" s="36"/>
      <c r="DD12" s="36"/>
      <c r="DE12" s="36"/>
      <c r="DF12" s="36"/>
      <c r="DG12" s="36"/>
      <c r="DH12" s="36"/>
      <c r="DI12" s="36"/>
      <c r="DJ12" s="36"/>
      <c r="DK12" s="36"/>
      <c r="DL12" s="36"/>
      <c r="DM12" s="36"/>
      <c r="DN12" s="36"/>
      <c r="DO12" s="33"/>
      <c r="DP12" s="33"/>
      <c r="DQ12" s="34"/>
      <c r="DR12" s="30"/>
      <c r="DS12" s="36"/>
      <c r="DT12" s="36"/>
      <c r="DU12" s="36"/>
      <c r="DV12" s="36"/>
      <c r="DW12" s="36"/>
      <c r="DX12" s="36"/>
      <c r="DY12" s="36"/>
      <c r="DZ12" s="36"/>
      <c r="EA12" s="36"/>
      <c r="EB12" s="36"/>
      <c r="EC12" s="36"/>
      <c r="ED12" s="36"/>
      <c r="EE12" s="36"/>
      <c r="EF12" s="36"/>
      <c r="EG12" s="36"/>
      <c r="EH12" s="36"/>
      <c r="EI12" s="31"/>
      <c r="EJ12" s="36"/>
      <c r="EK12" s="36"/>
      <c r="EL12" s="36"/>
      <c r="EM12" s="36"/>
      <c r="EN12" s="36"/>
      <c r="EO12" s="36"/>
      <c r="EP12" s="36"/>
      <c r="EQ12" s="36"/>
      <c r="ER12" s="36"/>
      <c r="ES12" s="36"/>
      <c r="ET12" s="36"/>
      <c r="EU12" s="36"/>
      <c r="EV12" s="36"/>
      <c r="EW12" s="36"/>
      <c r="EX12" s="36"/>
      <c r="EY12" s="36"/>
      <c r="EZ12" s="36"/>
      <c r="FA12" s="32"/>
      <c r="FB12" s="36"/>
      <c r="FC12" s="36"/>
      <c r="FD12" s="36"/>
      <c r="FE12" s="36"/>
      <c r="FF12" s="36"/>
      <c r="FG12" s="36"/>
      <c r="FH12" s="36"/>
      <c r="FI12" s="36"/>
      <c r="FJ12" s="36"/>
      <c r="FK12" s="36"/>
      <c r="FL12" s="36"/>
      <c r="FM12" s="36"/>
      <c r="FN12" s="36"/>
      <c r="FO12" s="36"/>
      <c r="FP12" s="36"/>
      <c r="FQ12" s="33"/>
      <c r="FR12" s="33"/>
      <c r="FS12" s="34"/>
      <c r="FT12" s="30"/>
      <c r="FU12" s="36"/>
      <c r="FV12" s="36"/>
      <c r="FW12" s="36"/>
      <c r="FX12" s="36"/>
      <c r="FY12" s="36"/>
      <c r="FZ12" s="36"/>
      <c r="GA12" s="36"/>
      <c r="GB12" s="36"/>
      <c r="GC12" s="36"/>
      <c r="GD12" s="36"/>
      <c r="GE12" s="36"/>
      <c r="GF12" s="36"/>
      <c r="GG12" s="36"/>
      <c r="GH12" s="36"/>
      <c r="GI12" s="36"/>
      <c r="GJ12" s="36"/>
      <c r="GK12" s="31"/>
      <c r="GL12" s="36"/>
      <c r="GM12" s="36"/>
      <c r="GN12" s="36"/>
      <c r="GO12" s="36"/>
      <c r="GP12" s="36"/>
      <c r="GQ12" s="36"/>
      <c r="GR12" s="36"/>
      <c r="GS12" s="36"/>
      <c r="GT12" s="36"/>
      <c r="GU12" s="36"/>
      <c r="GV12" s="36"/>
      <c r="GW12" s="36"/>
      <c r="GX12" s="36"/>
      <c r="GY12" s="36"/>
      <c r="GZ12" s="36"/>
      <c r="HA12" s="36"/>
      <c r="HB12" s="36"/>
      <c r="HC12" s="32"/>
      <c r="HD12" s="36"/>
      <c r="HE12" s="36"/>
      <c r="HF12" s="36"/>
      <c r="HG12" s="36"/>
      <c r="HH12" s="36"/>
      <c r="HI12" s="36"/>
      <c r="HJ12" s="36"/>
      <c r="HK12" s="36"/>
      <c r="HL12" s="36"/>
      <c r="HM12" s="36"/>
      <c r="HN12" s="36"/>
      <c r="HO12" s="36"/>
      <c r="HP12" s="36"/>
      <c r="HQ12" s="36"/>
      <c r="HR12" s="36"/>
      <c r="HS12" s="33"/>
      <c r="HT12" s="33"/>
      <c r="HU12" s="35"/>
      <c r="HV12" s="36"/>
      <c r="HW12" s="36"/>
    </row>
    <row r="13" spans="1:231">
      <c r="A13" s="36"/>
      <c r="B13" s="38"/>
      <c r="C13" s="36"/>
      <c r="D13" s="37"/>
      <c r="E13" s="36"/>
      <c r="F13" s="36"/>
      <c r="G13" s="36"/>
      <c r="H13" s="36"/>
      <c r="I13" s="36"/>
      <c r="J13" s="36"/>
      <c r="K13" s="36"/>
      <c r="L13" s="36"/>
      <c r="M13" s="36"/>
      <c r="N13" s="30"/>
      <c r="O13" s="52"/>
      <c r="P13" s="36"/>
      <c r="Q13" s="36"/>
      <c r="R13" s="36"/>
      <c r="S13" s="2"/>
      <c r="T13" s="36"/>
      <c r="U13" s="36"/>
      <c r="V13" s="36"/>
      <c r="W13" s="36"/>
      <c r="X13" s="36"/>
      <c r="Y13" s="36"/>
      <c r="Z13" s="36"/>
      <c r="AA13" s="36"/>
      <c r="AB13" s="36"/>
      <c r="AC13" s="36"/>
      <c r="AD13" s="36"/>
      <c r="AE13" s="12">
        <f t="shared" si="30"/>
        <v>0</v>
      </c>
      <c r="AF13" s="36"/>
      <c r="AG13" s="36"/>
      <c r="AH13" s="36"/>
      <c r="AI13" s="36"/>
      <c r="AJ13" s="36"/>
      <c r="AK13" s="36"/>
      <c r="AL13" s="36"/>
      <c r="AM13" s="36"/>
      <c r="AN13" s="36"/>
      <c r="AO13" s="36"/>
      <c r="AP13" s="36"/>
      <c r="AQ13" s="36"/>
      <c r="AR13" s="36"/>
      <c r="AS13" s="36"/>
      <c r="AT13" s="36"/>
      <c r="AU13" s="36"/>
      <c r="AV13" s="36"/>
      <c r="AW13" s="10">
        <f t="shared" si="35"/>
        <v>0</v>
      </c>
      <c r="AX13" s="36"/>
      <c r="AY13" s="36"/>
      <c r="AZ13" s="36"/>
      <c r="BA13" s="6">
        <f t="shared" si="31"/>
        <v>0</v>
      </c>
      <c r="BB13" s="36"/>
      <c r="BC13" s="36"/>
      <c r="BD13" s="36"/>
      <c r="BE13" s="6">
        <f t="shared" si="32"/>
        <v>0</v>
      </c>
      <c r="BF13" s="36"/>
      <c r="BG13" s="36"/>
      <c r="BH13" s="36"/>
      <c r="BI13" s="6">
        <f t="shared" si="33"/>
        <v>0</v>
      </c>
      <c r="BJ13" s="36"/>
      <c r="BK13" s="36"/>
      <c r="BL13" s="36">
        <f t="shared" si="36"/>
        <v>0</v>
      </c>
      <c r="BM13" s="14">
        <f t="shared" si="34"/>
        <v>0</v>
      </c>
      <c r="BN13" s="33"/>
      <c r="BO13" s="35"/>
      <c r="BP13" s="30"/>
      <c r="BQ13" s="36"/>
      <c r="BR13" s="36"/>
      <c r="BS13" s="36"/>
      <c r="BT13" s="36"/>
      <c r="BU13" s="36"/>
      <c r="BV13" s="36"/>
      <c r="BW13" s="36"/>
      <c r="BX13" s="36"/>
      <c r="BY13" s="36"/>
      <c r="BZ13" s="36"/>
      <c r="CA13" s="36"/>
      <c r="CB13" s="36"/>
      <c r="CC13" s="36"/>
      <c r="CD13" s="36"/>
      <c r="CE13" s="36"/>
      <c r="CF13" s="36"/>
      <c r="CG13" s="31"/>
      <c r="CH13" s="36"/>
      <c r="CI13" s="36"/>
      <c r="CJ13" s="36"/>
      <c r="CK13" s="36"/>
      <c r="CL13" s="36"/>
      <c r="CM13" s="36"/>
      <c r="CN13" s="36"/>
      <c r="CO13" s="36"/>
      <c r="CP13" s="36"/>
      <c r="CQ13" s="36"/>
      <c r="CR13" s="36"/>
      <c r="CS13" s="36"/>
      <c r="CT13" s="36"/>
      <c r="CU13" s="36"/>
      <c r="CV13" s="36"/>
      <c r="CW13" s="36"/>
      <c r="CX13" s="36"/>
      <c r="CY13" s="32"/>
      <c r="CZ13" s="36"/>
      <c r="DA13" s="36"/>
      <c r="DB13" s="36"/>
      <c r="DC13" s="36"/>
      <c r="DD13" s="36"/>
      <c r="DE13" s="36"/>
      <c r="DF13" s="36"/>
      <c r="DG13" s="36"/>
      <c r="DH13" s="36"/>
      <c r="DI13" s="36"/>
      <c r="DJ13" s="36"/>
      <c r="DK13" s="36"/>
      <c r="DL13" s="36"/>
      <c r="DM13" s="36"/>
      <c r="DN13" s="36"/>
      <c r="DO13" s="33"/>
      <c r="DP13" s="33"/>
      <c r="DQ13" s="34"/>
      <c r="DR13" s="30"/>
      <c r="DS13" s="36"/>
      <c r="DT13" s="36"/>
      <c r="DU13" s="36"/>
      <c r="DV13" s="36"/>
      <c r="DW13" s="36"/>
      <c r="DX13" s="36"/>
      <c r="DY13" s="36"/>
      <c r="DZ13" s="36"/>
      <c r="EA13" s="36"/>
      <c r="EB13" s="36"/>
      <c r="EC13" s="36"/>
      <c r="ED13" s="36"/>
      <c r="EE13" s="36"/>
      <c r="EF13" s="36"/>
      <c r="EG13" s="36"/>
      <c r="EH13" s="36"/>
      <c r="EI13" s="31"/>
      <c r="EJ13" s="36"/>
      <c r="EK13" s="36"/>
      <c r="EL13" s="36"/>
      <c r="EM13" s="36"/>
      <c r="EN13" s="36"/>
      <c r="EO13" s="36"/>
      <c r="EP13" s="36"/>
      <c r="EQ13" s="36"/>
      <c r="ER13" s="36"/>
      <c r="ES13" s="36"/>
      <c r="ET13" s="36"/>
      <c r="EU13" s="36"/>
      <c r="EV13" s="36"/>
      <c r="EW13" s="36"/>
      <c r="EX13" s="36"/>
      <c r="EY13" s="36"/>
      <c r="EZ13" s="36"/>
      <c r="FA13" s="32"/>
      <c r="FB13" s="36"/>
      <c r="FC13" s="36"/>
      <c r="FD13" s="36"/>
      <c r="FE13" s="36"/>
      <c r="FF13" s="36"/>
      <c r="FG13" s="36"/>
      <c r="FH13" s="36"/>
      <c r="FI13" s="36"/>
      <c r="FJ13" s="36"/>
      <c r="FK13" s="36"/>
      <c r="FL13" s="36"/>
      <c r="FM13" s="36"/>
      <c r="FN13" s="36"/>
      <c r="FO13" s="36"/>
      <c r="FP13" s="36"/>
      <c r="FQ13" s="33"/>
      <c r="FR13" s="33"/>
      <c r="FS13" s="34"/>
      <c r="FT13" s="30"/>
      <c r="FU13" s="36"/>
      <c r="FV13" s="36"/>
      <c r="FW13" s="36"/>
      <c r="FX13" s="36"/>
      <c r="FY13" s="36"/>
      <c r="FZ13" s="36"/>
      <c r="GA13" s="36"/>
      <c r="GB13" s="36"/>
      <c r="GC13" s="36"/>
      <c r="GD13" s="36"/>
      <c r="GE13" s="36"/>
      <c r="GF13" s="36"/>
      <c r="GG13" s="36"/>
      <c r="GH13" s="36"/>
      <c r="GI13" s="36"/>
      <c r="GJ13" s="36"/>
      <c r="GK13" s="31"/>
      <c r="GL13" s="36"/>
      <c r="GM13" s="36"/>
      <c r="GN13" s="36"/>
      <c r="GO13" s="36"/>
      <c r="GP13" s="36"/>
      <c r="GQ13" s="36"/>
      <c r="GR13" s="36"/>
      <c r="GS13" s="36"/>
      <c r="GT13" s="36"/>
      <c r="GU13" s="36"/>
      <c r="GV13" s="36"/>
      <c r="GW13" s="36"/>
      <c r="GX13" s="36"/>
      <c r="GY13" s="36"/>
      <c r="GZ13" s="36"/>
      <c r="HA13" s="36"/>
      <c r="HB13" s="36"/>
      <c r="HC13" s="32"/>
      <c r="HD13" s="36"/>
      <c r="HE13" s="36"/>
      <c r="HF13" s="36"/>
      <c r="HG13" s="36"/>
      <c r="HH13" s="36"/>
      <c r="HI13" s="36"/>
      <c r="HJ13" s="36"/>
      <c r="HK13" s="36"/>
      <c r="HL13" s="36"/>
      <c r="HM13" s="36"/>
      <c r="HN13" s="36"/>
      <c r="HO13" s="36"/>
      <c r="HP13" s="36"/>
      <c r="HQ13" s="36"/>
      <c r="HR13" s="36"/>
      <c r="HS13" s="33"/>
      <c r="HT13" s="33"/>
      <c r="HU13" s="35"/>
      <c r="HV13" s="36"/>
      <c r="HW13" s="36"/>
    </row>
    <row r="14" spans="1:231">
      <c r="A14" s="36"/>
      <c r="B14" s="30"/>
      <c r="C14" s="2"/>
      <c r="D14" s="37"/>
      <c r="E14" s="36"/>
      <c r="F14" s="36"/>
      <c r="G14" s="36"/>
      <c r="H14" s="2"/>
      <c r="I14" s="36"/>
      <c r="J14" s="36"/>
      <c r="K14" s="2"/>
      <c r="L14" s="36"/>
      <c r="M14" s="36"/>
      <c r="N14" s="30"/>
      <c r="O14" s="52"/>
      <c r="P14" s="28"/>
      <c r="Q14" s="28"/>
      <c r="R14" s="36"/>
      <c r="S14" s="2"/>
      <c r="T14" s="36"/>
      <c r="U14" s="36"/>
      <c r="V14" s="36"/>
      <c r="W14" s="36"/>
      <c r="X14" s="36"/>
      <c r="Y14" s="36"/>
      <c r="Z14" s="36"/>
      <c r="AA14" s="36"/>
      <c r="AB14" s="36"/>
      <c r="AC14" s="36"/>
      <c r="AD14" s="36"/>
      <c r="AE14" s="12">
        <f t="shared" si="30"/>
        <v>0</v>
      </c>
      <c r="AF14" s="36"/>
      <c r="AG14" s="36"/>
      <c r="AH14" s="36"/>
      <c r="AI14" s="36"/>
      <c r="AJ14" s="36"/>
      <c r="AK14" s="36"/>
      <c r="AL14" s="36"/>
      <c r="AM14" s="36"/>
      <c r="AN14" s="36"/>
      <c r="AO14" s="36"/>
      <c r="AP14" s="36"/>
      <c r="AQ14" s="36"/>
      <c r="AR14" s="36"/>
      <c r="AS14" s="36"/>
      <c r="AT14" s="36"/>
      <c r="AU14" s="36"/>
      <c r="AV14" s="36"/>
      <c r="AW14" s="10">
        <f t="shared" si="35"/>
        <v>0</v>
      </c>
      <c r="AX14" s="36"/>
      <c r="AY14" s="36"/>
      <c r="AZ14" s="36"/>
      <c r="BA14" s="6">
        <f t="shared" si="31"/>
        <v>0</v>
      </c>
      <c r="BB14" s="36"/>
      <c r="BC14" s="36"/>
      <c r="BD14" s="36"/>
      <c r="BE14" s="6">
        <f t="shared" si="32"/>
        <v>0</v>
      </c>
      <c r="BF14" s="36"/>
      <c r="BG14" s="36"/>
      <c r="BH14" s="36"/>
      <c r="BI14" s="6">
        <f t="shared" si="33"/>
        <v>0</v>
      </c>
      <c r="BJ14" s="36"/>
      <c r="BK14" s="36"/>
      <c r="BL14" s="36">
        <f t="shared" si="36"/>
        <v>0</v>
      </c>
      <c r="BM14" s="14">
        <f t="shared" si="34"/>
        <v>0</v>
      </c>
      <c r="BN14" s="33"/>
      <c r="BO14" s="34"/>
      <c r="BP14" s="30"/>
      <c r="BQ14" s="52"/>
      <c r="BR14" s="28"/>
      <c r="BS14" s="2"/>
      <c r="BT14" s="36"/>
      <c r="BU14" s="2"/>
      <c r="BV14" s="36"/>
      <c r="BW14" s="36"/>
      <c r="BX14" s="36"/>
      <c r="BY14" s="36"/>
      <c r="BZ14" s="36"/>
      <c r="CA14" s="36"/>
      <c r="CB14" s="36"/>
      <c r="CC14" s="36"/>
      <c r="CD14" s="36"/>
      <c r="CE14" s="36"/>
      <c r="CF14" s="36"/>
      <c r="CG14" s="31"/>
      <c r="CH14" s="36"/>
      <c r="CI14" s="36"/>
      <c r="CJ14" s="36"/>
      <c r="CK14" s="36"/>
      <c r="CL14" s="36"/>
      <c r="CM14" s="36"/>
      <c r="CN14" s="36"/>
      <c r="CO14" s="36"/>
      <c r="CP14" s="36"/>
      <c r="CQ14" s="36"/>
      <c r="CR14" s="36"/>
      <c r="CS14" s="36"/>
      <c r="CT14" s="36"/>
      <c r="CU14" s="36"/>
      <c r="CV14" s="36"/>
      <c r="CW14" s="36"/>
      <c r="CX14" s="36"/>
      <c r="CY14" s="32"/>
      <c r="CZ14" s="36"/>
      <c r="DA14" s="36"/>
      <c r="DB14" s="36"/>
      <c r="DC14" s="36"/>
      <c r="DD14" s="36"/>
      <c r="DE14" s="36"/>
      <c r="DF14" s="36"/>
      <c r="DG14" s="36"/>
      <c r="DH14" s="36"/>
      <c r="DI14" s="36"/>
      <c r="DJ14" s="36"/>
      <c r="DK14" s="36"/>
      <c r="DL14" s="36"/>
      <c r="DM14" s="36"/>
      <c r="DN14" s="36"/>
      <c r="DO14" s="33"/>
      <c r="DP14" s="33"/>
      <c r="DQ14" s="34"/>
      <c r="DR14" s="30"/>
      <c r="DS14" s="52"/>
      <c r="DT14" s="54"/>
      <c r="DU14" s="54"/>
      <c r="DV14" s="36"/>
      <c r="DW14" s="54"/>
      <c r="DX14" s="36"/>
      <c r="DY14" s="36"/>
      <c r="DZ14" s="36"/>
      <c r="EA14" s="36"/>
      <c r="EB14" s="36"/>
      <c r="EC14" s="36"/>
      <c r="ED14" s="36"/>
      <c r="EE14" s="36"/>
      <c r="EF14" s="36"/>
      <c r="EG14" s="36"/>
      <c r="EH14" s="36"/>
      <c r="EI14" s="31"/>
      <c r="EJ14" s="36"/>
      <c r="EK14" s="36"/>
      <c r="EL14" s="36"/>
      <c r="EM14" s="36"/>
      <c r="EN14" s="36"/>
      <c r="EO14" s="36"/>
      <c r="EP14" s="36"/>
      <c r="EQ14" s="36"/>
      <c r="ER14" s="36"/>
      <c r="ES14" s="36"/>
      <c r="ET14" s="36"/>
      <c r="EU14" s="36"/>
      <c r="EV14" s="36"/>
      <c r="EW14" s="36"/>
      <c r="EX14" s="36"/>
      <c r="EY14" s="36"/>
      <c r="EZ14" s="36"/>
      <c r="FA14" s="32"/>
      <c r="FB14" s="36"/>
      <c r="FC14" s="36"/>
      <c r="FD14" s="36"/>
      <c r="FE14" s="36"/>
      <c r="FF14" s="36"/>
      <c r="FG14" s="36"/>
      <c r="FH14" s="36"/>
      <c r="FI14" s="36"/>
      <c r="FJ14" s="36"/>
      <c r="FK14" s="36"/>
      <c r="FL14" s="36"/>
      <c r="FM14" s="36"/>
      <c r="FN14" s="36"/>
      <c r="FO14" s="36"/>
      <c r="FP14" s="36"/>
      <c r="FQ14" s="33"/>
      <c r="FR14" s="33"/>
      <c r="FS14" s="34"/>
      <c r="FT14" s="30"/>
      <c r="FU14" s="36"/>
      <c r="FV14" s="36"/>
      <c r="FW14" s="36"/>
      <c r="FX14" s="36"/>
      <c r="FY14" s="36"/>
      <c r="FZ14" s="36"/>
      <c r="GA14" s="36"/>
      <c r="GB14" s="36"/>
      <c r="GC14" s="36"/>
      <c r="GD14" s="36"/>
      <c r="GE14" s="36"/>
      <c r="GF14" s="36"/>
      <c r="GG14" s="36"/>
      <c r="GH14" s="36"/>
      <c r="GI14" s="36"/>
      <c r="GJ14" s="36"/>
      <c r="GK14" s="31"/>
      <c r="GL14" s="36"/>
      <c r="GM14" s="36"/>
      <c r="GN14" s="36"/>
      <c r="GO14" s="36"/>
      <c r="GP14" s="36"/>
      <c r="GQ14" s="36"/>
      <c r="GR14" s="36"/>
      <c r="GS14" s="36"/>
      <c r="GT14" s="36"/>
      <c r="GU14" s="36"/>
      <c r="GV14" s="36"/>
      <c r="GW14" s="36"/>
      <c r="GX14" s="36"/>
      <c r="GY14" s="36"/>
      <c r="GZ14" s="36"/>
      <c r="HA14" s="36"/>
      <c r="HB14" s="36"/>
      <c r="HC14" s="32"/>
      <c r="HD14" s="36"/>
      <c r="HE14" s="36"/>
      <c r="HF14" s="36"/>
      <c r="HG14" s="36"/>
      <c r="HH14" s="36"/>
      <c r="HI14" s="36"/>
      <c r="HJ14" s="36"/>
      <c r="HK14" s="36"/>
      <c r="HL14" s="36"/>
      <c r="HM14" s="36"/>
      <c r="HN14" s="36"/>
      <c r="HO14" s="36"/>
      <c r="HP14" s="36"/>
      <c r="HQ14" s="36"/>
      <c r="HR14" s="36"/>
      <c r="HS14" s="33"/>
      <c r="HT14" s="33"/>
      <c r="HU14" s="35"/>
      <c r="HV14" s="36"/>
      <c r="HW14" s="36"/>
    </row>
    <row r="15" spans="1:231" ht="81.75" customHeight="1">
      <c r="A15" s="71" t="s">
        <v>231</v>
      </c>
      <c r="B15" s="38" t="s">
        <v>870</v>
      </c>
      <c r="C15" s="2" t="s">
        <v>871</v>
      </c>
      <c r="D15" s="20">
        <v>5465859</v>
      </c>
      <c r="E15" s="36" t="s">
        <v>872</v>
      </c>
      <c r="F15" s="36">
        <v>22</v>
      </c>
      <c r="G15" s="36" t="s">
        <v>235</v>
      </c>
      <c r="H15" s="36" t="s">
        <v>237</v>
      </c>
      <c r="I15" s="36" t="s">
        <v>237</v>
      </c>
      <c r="J15" s="2" t="s">
        <v>873</v>
      </c>
      <c r="K15" s="2" t="s">
        <v>874</v>
      </c>
      <c r="L15" s="2" t="s">
        <v>875</v>
      </c>
      <c r="M15" s="2"/>
      <c r="N15" s="30" t="s">
        <v>365</v>
      </c>
      <c r="O15" s="52">
        <v>0.44375000000000003</v>
      </c>
      <c r="P15" s="4" t="s">
        <v>480</v>
      </c>
      <c r="Q15" s="4">
        <v>1494245</v>
      </c>
      <c r="R15" s="36">
        <v>45</v>
      </c>
      <c r="S15" s="2" t="s">
        <v>876</v>
      </c>
      <c r="T15" s="36">
        <v>0</v>
      </c>
      <c r="U15" s="36">
        <v>0</v>
      </c>
      <c r="V15" s="36">
        <v>0</v>
      </c>
      <c r="W15" s="36">
        <v>0</v>
      </c>
      <c r="X15" s="36">
        <v>0</v>
      </c>
      <c r="Y15" s="36">
        <v>0</v>
      </c>
      <c r="Z15" s="36">
        <v>4</v>
      </c>
      <c r="AA15" s="36">
        <v>2</v>
      </c>
      <c r="AB15" s="36">
        <v>0</v>
      </c>
      <c r="AC15" s="36">
        <v>0</v>
      </c>
      <c r="AD15" s="36">
        <v>3</v>
      </c>
      <c r="AE15" s="12">
        <f t="shared" si="30"/>
        <v>9</v>
      </c>
      <c r="AF15" s="36">
        <v>0</v>
      </c>
      <c r="AG15" s="36">
        <v>0</v>
      </c>
      <c r="AH15" s="36">
        <v>0</v>
      </c>
      <c r="AI15" s="36">
        <v>0</v>
      </c>
      <c r="AJ15" s="36">
        <v>0</v>
      </c>
      <c r="AK15" s="36">
        <v>0</v>
      </c>
      <c r="AL15" s="36">
        <v>4</v>
      </c>
      <c r="AM15" s="36">
        <v>3</v>
      </c>
      <c r="AN15" s="36">
        <v>0</v>
      </c>
      <c r="AO15" s="36">
        <v>0</v>
      </c>
      <c r="AP15" s="36">
        <v>0</v>
      </c>
      <c r="AQ15" s="36">
        <v>0</v>
      </c>
      <c r="AR15" s="36">
        <v>0</v>
      </c>
      <c r="AS15" s="36">
        <v>0</v>
      </c>
      <c r="AT15" s="36">
        <v>0</v>
      </c>
      <c r="AU15" s="36">
        <v>0</v>
      </c>
      <c r="AV15" s="36">
        <v>2</v>
      </c>
      <c r="AW15" s="10">
        <f t="shared" si="35"/>
        <v>9</v>
      </c>
      <c r="AX15" s="36">
        <v>0</v>
      </c>
      <c r="AY15" s="36">
        <v>0</v>
      </c>
      <c r="AZ15" s="36">
        <v>0</v>
      </c>
      <c r="BA15" s="6">
        <f t="shared" si="31"/>
        <v>0</v>
      </c>
      <c r="BB15" s="36">
        <v>0</v>
      </c>
      <c r="BC15" s="36">
        <v>0</v>
      </c>
      <c r="BD15" s="36">
        <v>0</v>
      </c>
      <c r="BE15" s="6">
        <f t="shared" si="32"/>
        <v>0</v>
      </c>
      <c r="BF15" s="36">
        <v>5</v>
      </c>
      <c r="BG15" s="36">
        <v>2</v>
      </c>
      <c r="BH15" s="36">
        <v>0</v>
      </c>
      <c r="BI15" s="6">
        <f t="shared" si="33"/>
        <v>1980</v>
      </c>
      <c r="BJ15" s="36">
        <v>9</v>
      </c>
      <c r="BK15" s="36">
        <v>0</v>
      </c>
      <c r="BL15" s="36">
        <f t="shared" si="36"/>
        <v>3780</v>
      </c>
      <c r="BM15" s="14">
        <f t="shared" si="34"/>
        <v>1980</v>
      </c>
      <c r="BN15" s="33"/>
      <c r="BO15" s="35"/>
      <c r="BP15" s="30"/>
      <c r="BQ15" s="52"/>
      <c r="BR15" s="28"/>
      <c r="BS15" s="2"/>
      <c r="BT15" s="2"/>
      <c r="BU15" s="54"/>
      <c r="BV15" s="36"/>
      <c r="BW15" s="36"/>
      <c r="BX15" s="36"/>
      <c r="BY15" s="36"/>
      <c r="BZ15" s="36"/>
      <c r="CA15" s="36"/>
      <c r="CB15" s="36"/>
      <c r="CC15" s="36"/>
      <c r="CD15" s="36"/>
      <c r="CE15" s="36"/>
      <c r="CF15" s="36"/>
      <c r="CG15" s="31"/>
      <c r="CH15" s="36"/>
      <c r="CI15" s="36"/>
      <c r="CJ15" s="36"/>
      <c r="CK15" s="36"/>
      <c r="CL15" s="36"/>
      <c r="CM15" s="36"/>
      <c r="CN15" s="36"/>
      <c r="CO15" s="36"/>
      <c r="CP15" s="36"/>
      <c r="CQ15" s="36"/>
      <c r="CR15" s="36"/>
      <c r="CS15" s="36"/>
      <c r="CT15" s="36"/>
      <c r="CU15" s="36"/>
      <c r="CV15" s="36"/>
      <c r="CW15" s="36"/>
      <c r="CX15" s="36"/>
      <c r="CY15" s="32"/>
      <c r="CZ15" s="36"/>
      <c r="DA15" s="36"/>
      <c r="DB15" s="36"/>
      <c r="DC15" s="36"/>
      <c r="DD15" s="36"/>
      <c r="DE15" s="36"/>
      <c r="DF15" s="36"/>
      <c r="DG15" s="36"/>
      <c r="DH15" s="36"/>
      <c r="DI15" s="36"/>
      <c r="DJ15" s="36"/>
      <c r="DK15" s="36"/>
      <c r="DL15" s="36"/>
      <c r="DM15" s="36"/>
      <c r="DN15" s="36"/>
      <c r="DO15" s="33"/>
      <c r="DP15" s="33"/>
      <c r="DQ15" s="34"/>
      <c r="DR15" s="30"/>
      <c r="DS15" s="52"/>
      <c r="DT15" s="28"/>
      <c r="DU15" s="28"/>
      <c r="DV15" s="2"/>
      <c r="DW15" s="2"/>
      <c r="DX15" s="36"/>
      <c r="DY15" s="36"/>
      <c r="DZ15" s="36"/>
      <c r="EA15" s="36"/>
      <c r="EB15" s="36"/>
      <c r="EC15" s="36"/>
      <c r="ED15" s="36"/>
      <c r="EE15" s="36"/>
      <c r="EF15" s="36"/>
      <c r="EG15" s="36"/>
      <c r="EH15" s="36"/>
      <c r="EI15" s="31"/>
      <c r="EJ15" s="36"/>
      <c r="EK15" s="36"/>
      <c r="EL15" s="36"/>
      <c r="EM15" s="36"/>
      <c r="EN15" s="36"/>
      <c r="EO15" s="36"/>
      <c r="EP15" s="36"/>
      <c r="EQ15" s="36"/>
      <c r="ER15" s="36"/>
      <c r="ES15" s="36"/>
      <c r="ET15" s="36"/>
      <c r="EU15" s="36"/>
      <c r="EV15" s="36"/>
      <c r="EW15" s="36"/>
      <c r="EX15" s="36"/>
      <c r="EY15" s="36"/>
      <c r="EZ15" s="36"/>
      <c r="FA15" s="32"/>
      <c r="FB15" s="36"/>
      <c r="FC15" s="36"/>
      <c r="FD15" s="36"/>
      <c r="FE15" s="36"/>
      <c r="FF15" s="36"/>
      <c r="FG15" s="36"/>
      <c r="FH15" s="36"/>
      <c r="FI15" s="36"/>
      <c r="FJ15" s="36"/>
      <c r="FK15" s="36"/>
      <c r="FL15" s="36"/>
      <c r="FM15" s="36"/>
      <c r="FN15" s="36"/>
      <c r="FO15" s="36"/>
      <c r="FP15" s="36"/>
      <c r="FQ15" s="33"/>
      <c r="FR15" s="33"/>
      <c r="FS15" s="34"/>
      <c r="FT15" s="30"/>
      <c r="FU15" s="36"/>
      <c r="FV15" s="36"/>
      <c r="FW15" s="36"/>
      <c r="FX15" s="36"/>
      <c r="FY15" s="36"/>
      <c r="FZ15" s="36"/>
      <c r="GA15" s="36"/>
      <c r="GB15" s="36"/>
      <c r="GC15" s="36"/>
      <c r="GD15" s="36"/>
      <c r="GE15" s="36"/>
      <c r="GF15" s="36"/>
      <c r="GG15" s="36"/>
      <c r="GH15" s="36"/>
      <c r="GI15" s="36"/>
      <c r="GJ15" s="36"/>
      <c r="GK15" s="31"/>
      <c r="GL15" s="36"/>
      <c r="GM15" s="36"/>
      <c r="GN15" s="36"/>
      <c r="GO15" s="36"/>
      <c r="GP15" s="36"/>
      <c r="GQ15" s="36"/>
      <c r="GR15" s="36"/>
      <c r="GS15" s="36"/>
      <c r="GT15" s="36"/>
      <c r="GU15" s="36"/>
      <c r="GV15" s="36"/>
      <c r="GW15" s="36"/>
      <c r="GX15" s="36"/>
      <c r="GY15" s="36"/>
      <c r="GZ15" s="36"/>
      <c r="HA15" s="36"/>
      <c r="HB15" s="36"/>
      <c r="HC15" s="32"/>
      <c r="HD15" s="36"/>
      <c r="HE15" s="36"/>
      <c r="HF15" s="36"/>
      <c r="HG15" s="36"/>
      <c r="HH15" s="36"/>
      <c r="HI15" s="36"/>
      <c r="HJ15" s="36"/>
      <c r="HK15" s="36"/>
      <c r="HL15" s="36"/>
      <c r="HM15" s="36"/>
      <c r="HN15" s="36"/>
      <c r="HO15" s="36"/>
      <c r="HP15" s="36"/>
      <c r="HQ15" s="36"/>
      <c r="HR15" s="36"/>
      <c r="HS15" s="33"/>
      <c r="HT15" s="33"/>
      <c r="HU15" s="35"/>
      <c r="HV15" s="36"/>
      <c r="HW15" s="36"/>
    </row>
    <row r="16" spans="1:231" ht="69.75" customHeight="1">
      <c r="A16" s="71" t="s">
        <v>231</v>
      </c>
      <c r="B16" s="38" t="s">
        <v>870</v>
      </c>
      <c r="C16" s="54" t="s">
        <v>877</v>
      </c>
      <c r="D16" s="20">
        <v>4651728</v>
      </c>
      <c r="E16" s="36" t="s">
        <v>878</v>
      </c>
      <c r="F16" s="36">
        <v>23</v>
      </c>
      <c r="G16" s="36" t="s">
        <v>879</v>
      </c>
      <c r="H16" s="36" t="s">
        <v>237</v>
      </c>
      <c r="I16" s="36" t="s">
        <v>237</v>
      </c>
      <c r="J16" s="36" t="s">
        <v>237</v>
      </c>
      <c r="K16" s="2" t="s">
        <v>880</v>
      </c>
      <c r="L16" s="2" t="s">
        <v>881</v>
      </c>
      <c r="M16" s="2"/>
      <c r="N16" s="30" t="s">
        <v>882</v>
      </c>
      <c r="O16" s="52">
        <v>0.5541666666666667</v>
      </c>
      <c r="P16" s="4" t="s">
        <v>503</v>
      </c>
      <c r="Q16" s="4">
        <v>1502680</v>
      </c>
      <c r="R16" s="36">
        <v>45</v>
      </c>
      <c r="S16" s="2" t="s">
        <v>883</v>
      </c>
      <c r="T16" s="36">
        <v>0</v>
      </c>
      <c r="U16" s="36">
        <v>0</v>
      </c>
      <c r="V16" s="36">
        <v>0</v>
      </c>
      <c r="W16" s="36">
        <v>0</v>
      </c>
      <c r="X16" s="36">
        <v>2</v>
      </c>
      <c r="Y16" s="36">
        <v>0</v>
      </c>
      <c r="Z16" s="36">
        <v>0</v>
      </c>
      <c r="AA16" s="36">
        <v>6</v>
      </c>
      <c r="AB16" s="36">
        <v>2</v>
      </c>
      <c r="AC16" s="36">
        <v>2</v>
      </c>
      <c r="AD16" s="36">
        <v>3</v>
      </c>
      <c r="AE16" s="12">
        <f t="shared" si="30"/>
        <v>15</v>
      </c>
      <c r="AF16" s="36">
        <v>0</v>
      </c>
      <c r="AG16" s="36">
        <v>0</v>
      </c>
      <c r="AH16" s="36">
        <v>0</v>
      </c>
      <c r="AI16" s="36">
        <v>0</v>
      </c>
      <c r="AJ16" s="36">
        <v>0</v>
      </c>
      <c r="AK16" s="36">
        <v>0</v>
      </c>
      <c r="AL16" s="36">
        <v>0</v>
      </c>
      <c r="AM16" s="36">
        <v>1</v>
      </c>
      <c r="AN16" s="36">
        <v>0</v>
      </c>
      <c r="AO16" s="36">
        <v>2</v>
      </c>
      <c r="AP16" s="36">
        <v>0</v>
      </c>
      <c r="AQ16" s="36">
        <v>0</v>
      </c>
      <c r="AR16" s="36">
        <v>0</v>
      </c>
      <c r="AS16" s="36">
        <v>0</v>
      </c>
      <c r="AT16" s="36">
        <v>0</v>
      </c>
      <c r="AU16" s="36">
        <v>0</v>
      </c>
      <c r="AV16" s="36">
        <v>2</v>
      </c>
      <c r="AW16" s="10">
        <f t="shared" si="35"/>
        <v>5</v>
      </c>
      <c r="AX16" s="36">
        <v>0</v>
      </c>
      <c r="AY16" s="36">
        <v>0</v>
      </c>
      <c r="AZ16" s="36">
        <v>0</v>
      </c>
      <c r="BA16" s="6">
        <f t="shared" si="31"/>
        <v>0</v>
      </c>
      <c r="BB16" s="36">
        <v>0</v>
      </c>
      <c r="BC16" s="36">
        <v>0</v>
      </c>
      <c r="BD16" s="36">
        <v>0</v>
      </c>
      <c r="BE16" s="6">
        <f t="shared" si="32"/>
        <v>0</v>
      </c>
      <c r="BF16" s="36">
        <v>7</v>
      </c>
      <c r="BG16" s="36">
        <v>0</v>
      </c>
      <c r="BH16" s="36">
        <v>15</v>
      </c>
      <c r="BI16" s="6">
        <f t="shared" si="33"/>
        <v>346.5</v>
      </c>
      <c r="BJ16" s="36">
        <v>10</v>
      </c>
      <c r="BK16" s="36">
        <v>0</v>
      </c>
      <c r="BL16" s="36">
        <f t="shared" si="36"/>
        <v>4200</v>
      </c>
      <c r="BM16" s="14">
        <f t="shared" si="34"/>
        <v>346.5</v>
      </c>
      <c r="BN16" s="33"/>
      <c r="BO16" s="34"/>
      <c r="BP16" s="30"/>
      <c r="BQ16" s="52"/>
      <c r="BR16" s="28"/>
      <c r="BS16" s="2"/>
      <c r="BT16" s="36"/>
      <c r="BU16" s="2"/>
      <c r="BV16" s="36"/>
      <c r="BW16" s="36"/>
      <c r="BX16" s="36"/>
      <c r="BY16" s="36"/>
      <c r="BZ16" s="36"/>
      <c r="CA16" s="36"/>
      <c r="CB16" s="36"/>
      <c r="CC16" s="36"/>
      <c r="CD16" s="36"/>
      <c r="CE16" s="36"/>
      <c r="CF16" s="36"/>
      <c r="CG16" s="31"/>
      <c r="CH16" s="36"/>
      <c r="CI16" s="36"/>
      <c r="CJ16" s="36"/>
      <c r="CK16" s="36"/>
      <c r="CL16" s="36"/>
      <c r="CM16" s="36"/>
      <c r="CN16" s="36"/>
      <c r="CO16" s="36"/>
      <c r="CP16" s="36"/>
      <c r="CQ16" s="36"/>
      <c r="CR16" s="36"/>
      <c r="CS16" s="36"/>
      <c r="CT16" s="36"/>
      <c r="CU16" s="36"/>
      <c r="CV16" s="36"/>
      <c r="CW16" s="36"/>
      <c r="CX16" s="36"/>
      <c r="CY16" s="32"/>
      <c r="CZ16" s="36"/>
      <c r="DA16" s="36"/>
      <c r="DB16" s="36"/>
      <c r="DC16" s="36"/>
      <c r="DD16" s="36"/>
      <c r="DE16" s="36"/>
      <c r="DF16" s="36"/>
      <c r="DG16" s="36"/>
      <c r="DH16" s="36"/>
      <c r="DI16" s="36"/>
      <c r="DJ16" s="36"/>
      <c r="DK16" s="36"/>
      <c r="DL16" s="36"/>
      <c r="DM16" s="36"/>
      <c r="DN16" s="36"/>
      <c r="DO16" s="33"/>
      <c r="DP16" s="33"/>
      <c r="DQ16" s="34"/>
      <c r="DR16" s="30"/>
      <c r="DS16" s="36"/>
      <c r="DT16" s="55"/>
      <c r="DU16" s="36"/>
      <c r="DV16" s="36"/>
      <c r="DW16" s="36"/>
      <c r="DX16" s="36"/>
      <c r="DY16" s="36"/>
      <c r="DZ16" s="36"/>
      <c r="EA16" s="36"/>
      <c r="EB16" s="36"/>
      <c r="EC16" s="36"/>
      <c r="ED16" s="36"/>
      <c r="EE16" s="36"/>
      <c r="EF16" s="36"/>
      <c r="EG16" s="36"/>
      <c r="EH16" s="36"/>
      <c r="EI16" s="31"/>
      <c r="EJ16" s="36"/>
      <c r="EK16" s="36"/>
      <c r="EL16" s="36"/>
      <c r="EM16" s="36"/>
      <c r="EN16" s="36"/>
      <c r="EO16" s="36"/>
      <c r="EP16" s="36"/>
      <c r="EQ16" s="36"/>
      <c r="ER16" s="36"/>
      <c r="ES16" s="36"/>
      <c r="ET16" s="36"/>
      <c r="EU16" s="36"/>
      <c r="EV16" s="36"/>
      <c r="EW16" s="36"/>
      <c r="EX16" s="36"/>
      <c r="EY16" s="36"/>
      <c r="EZ16" s="36"/>
      <c r="FA16" s="32"/>
      <c r="FB16" s="36"/>
      <c r="FC16" s="36"/>
      <c r="FD16" s="36"/>
      <c r="FE16" s="36"/>
      <c r="FF16" s="36"/>
      <c r="FG16" s="36"/>
      <c r="FH16" s="36"/>
      <c r="FI16" s="36"/>
      <c r="FJ16" s="36"/>
      <c r="FK16" s="36"/>
      <c r="FL16" s="36"/>
      <c r="FM16" s="36"/>
      <c r="FN16" s="36"/>
      <c r="FO16" s="36"/>
      <c r="FP16" s="36"/>
      <c r="FQ16" s="33"/>
      <c r="FR16" s="33"/>
      <c r="FS16" s="34"/>
      <c r="FT16" s="30"/>
      <c r="FU16" s="52"/>
      <c r="FV16" s="28"/>
      <c r="FW16" s="28"/>
      <c r="FX16" s="36"/>
      <c r="FY16" s="2"/>
      <c r="FZ16" s="36"/>
      <c r="GA16" s="36"/>
      <c r="GB16" s="36"/>
      <c r="GC16" s="36"/>
      <c r="GD16" s="36"/>
      <c r="GE16" s="36"/>
      <c r="GF16" s="36"/>
      <c r="GG16" s="36"/>
      <c r="GH16" s="36"/>
      <c r="GI16" s="36"/>
      <c r="GJ16" s="36"/>
      <c r="GK16" s="31"/>
      <c r="GL16" s="36"/>
      <c r="GM16" s="36"/>
      <c r="GN16" s="36"/>
      <c r="GO16" s="36"/>
      <c r="GP16" s="36"/>
      <c r="GQ16" s="36"/>
      <c r="GR16" s="36"/>
      <c r="GS16" s="36"/>
      <c r="GT16" s="36"/>
      <c r="GU16" s="36"/>
      <c r="GV16" s="36"/>
      <c r="GW16" s="36"/>
      <c r="GX16" s="36"/>
      <c r="GY16" s="36"/>
      <c r="GZ16" s="36"/>
      <c r="HA16" s="36"/>
      <c r="HB16" s="36"/>
      <c r="HC16" s="32"/>
      <c r="HD16" s="36"/>
      <c r="HE16" s="36"/>
      <c r="HF16" s="36"/>
      <c r="HG16" s="36"/>
      <c r="HH16" s="36"/>
      <c r="HI16" s="36"/>
      <c r="HJ16" s="36"/>
      <c r="HK16" s="36"/>
      <c r="HL16" s="36"/>
      <c r="HM16" s="36"/>
      <c r="HN16" s="36"/>
      <c r="HO16" s="36"/>
      <c r="HP16" s="36"/>
      <c r="HQ16" s="36"/>
      <c r="HR16" s="36"/>
      <c r="HS16" s="33"/>
      <c r="HT16" s="33"/>
      <c r="HU16" s="35"/>
      <c r="HV16" s="36"/>
      <c r="HW16" s="36"/>
    </row>
    <row r="17" spans="1:231" ht="59.25" customHeight="1">
      <c r="A17" s="71" t="s">
        <v>231</v>
      </c>
      <c r="B17" s="38" t="s">
        <v>375</v>
      </c>
      <c r="C17" s="54" t="s">
        <v>884</v>
      </c>
      <c r="D17" s="20">
        <v>5042521</v>
      </c>
      <c r="E17" s="36" t="s">
        <v>885</v>
      </c>
      <c r="F17" s="36">
        <v>40</v>
      </c>
      <c r="G17" s="36" t="s">
        <v>300</v>
      </c>
      <c r="H17" s="36" t="s">
        <v>237</v>
      </c>
      <c r="I17" s="2" t="s">
        <v>886</v>
      </c>
      <c r="J17" s="2" t="s">
        <v>886</v>
      </c>
      <c r="K17" s="36" t="s">
        <v>887</v>
      </c>
      <c r="L17" s="54" t="s">
        <v>888</v>
      </c>
      <c r="M17" s="54"/>
      <c r="N17" s="30" t="s">
        <v>889</v>
      </c>
      <c r="O17" s="52">
        <v>0.5625</v>
      </c>
      <c r="P17" s="4" t="s">
        <v>480</v>
      </c>
      <c r="Q17" s="4">
        <v>1503444</v>
      </c>
      <c r="R17" s="36" t="s">
        <v>890</v>
      </c>
      <c r="S17" s="2" t="s">
        <v>891</v>
      </c>
      <c r="T17" s="36">
        <v>0</v>
      </c>
      <c r="U17" s="36">
        <v>0</v>
      </c>
      <c r="V17" s="36">
        <v>0</v>
      </c>
      <c r="W17" s="36">
        <v>0</v>
      </c>
      <c r="X17" s="36">
        <v>0</v>
      </c>
      <c r="Y17" s="36">
        <v>0</v>
      </c>
      <c r="Z17" s="36">
        <v>0</v>
      </c>
      <c r="AA17" s="36">
        <v>8</v>
      </c>
      <c r="AB17" s="36">
        <v>0</v>
      </c>
      <c r="AC17" s="36">
        <v>1</v>
      </c>
      <c r="AD17" s="36">
        <v>4</v>
      </c>
      <c r="AE17" s="12">
        <f t="shared" si="30"/>
        <v>13</v>
      </c>
      <c r="AF17" s="36">
        <v>2</v>
      </c>
      <c r="AG17" s="36">
        <v>2</v>
      </c>
      <c r="AH17" s="36">
        <v>0</v>
      </c>
      <c r="AI17" s="36">
        <v>0</v>
      </c>
      <c r="AJ17" s="36">
        <v>0</v>
      </c>
      <c r="AK17" s="36">
        <v>0</v>
      </c>
      <c r="AL17" s="36">
        <v>0</v>
      </c>
      <c r="AM17" s="36">
        <v>0</v>
      </c>
      <c r="AN17" s="36">
        <v>0</v>
      </c>
      <c r="AO17" s="36">
        <v>2</v>
      </c>
      <c r="AP17" s="36">
        <v>2</v>
      </c>
      <c r="AQ17" s="36">
        <v>0</v>
      </c>
      <c r="AR17" s="36">
        <v>1</v>
      </c>
      <c r="AS17" s="36">
        <v>2</v>
      </c>
      <c r="AT17" s="36">
        <v>0</v>
      </c>
      <c r="AU17" s="36">
        <v>0</v>
      </c>
      <c r="AV17" s="36">
        <v>2</v>
      </c>
      <c r="AW17" s="10">
        <f t="shared" si="35"/>
        <v>13</v>
      </c>
      <c r="AX17" s="36">
        <v>0</v>
      </c>
      <c r="AY17" s="36">
        <v>0</v>
      </c>
      <c r="AZ17" s="36">
        <v>0</v>
      </c>
      <c r="BA17" s="6">
        <f t="shared" si="31"/>
        <v>0</v>
      </c>
      <c r="BB17" s="36">
        <v>0</v>
      </c>
      <c r="BC17" s="36">
        <v>0</v>
      </c>
      <c r="BD17" s="36">
        <v>0</v>
      </c>
      <c r="BE17" s="6">
        <f t="shared" si="32"/>
        <v>0</v>
      </c>
      <c r="BF17" s="36">
        <v>3</v>
      </c>
      <c r="BG17" s="36">
        <v>0</v>
      </c>
      <c r="BH17" s="36">
        <v>30</v>
      </c>
      <c r="BI17" s="6">
        <f t="shared" si="33"/>
        <v>297</v>
      </c>
      <c r="BJ17" s="36">
        <v>10</v>
      </c>
      <c r="BK17" s="36">
        <v>0</v>
      </c>
      <c r="BL17" s="36">
        <f t="shared" si="36"/>
        <v>4200</v>
      </c>
      <c r="BM17" s="14">
        <f t="shared" si="34"/>
        <v>297</v>
      </c>
      <c r="BN17" s="33"/>
      <c r="BO17" s="35"/>
      <c r="BP17" s="30"/>
      <c r="BQ17" s="52"/>
      <c r="BR17" s="28"/>
      <c r="BS17" s="2"/>
      <c r="BT17" s="36"/>
      <c r="BU17" s="2"/>
      <c r="BV17" s="36"/>
      <c r="BW17" s="36"/>
      <c r="BX17" s="36"/>
      <c r="BY17" s="36"/>
      <c r="BZ17" s="36"/>
      <c r="CA17" s="36"/>
      <c r="CB17" s="36"/>
      <c r="CC17" s="36"/>
      <c r="CD17" s="36"/>
      <c r="CE17" s="36"/>
      <c r="CF17" s="36"/>
      <c r="CG17" s="31"/>
      <c r="CH17" s="36"/>
      <c r="CI17" s="36"/>
      <c r="CJ17" s="36"/>
      <c r="CK17" s="36"/>
      <c r="CL17" s="36"/>
      <c r="CM17" s="36"/>
      <c r="CN17" s="36"/>
      <c r="CO17" s="36"/>
      <c r="CP17" s="36"/>
      <c r="CQ17" s="36"/>
      <c r="CR17" s="36"/>
      <c r="CS17" s="36"/>
      <c r="CT17" s="36"/>
      <c r="CU17" s="36"/>
      <c r="CV17" s="36"/>
      <c r="CW17" s="36"/>
      <c r="CX17" s="36"/>
      <c r="CY17" s="32"/>
      <c r="CZ17" s="36"/>
      <c r="DA17" s="36"/>
      <c r="DB17" s="36"/>
      <c r="DC17" s="36"/>
      <c r="DD17" s="36"/>
      <c r="DE17" s="36"/>
      <c r="DF17" s="36"/>
      <c r="DG17" s="36"/>
      <c r="DH17" s="36"/>
      <c r="DI17" s="36"/>
      <c r="DJ17" s="36"/>
      <c r="DK17" s="36"/>
      <c r="DL17" s="36"/>
      <c r="DM17" s="36"/>
      <c r="DN17" s="36"/>
      <c r="DO17" s="33"/>
      <c r="DP17" s="33"/>
      <c r="DQ17" s="34"/>
      <c r="DR17" s="30"/>
      <c r="DS17" s="36"/>
      <c r="DT17" s="36"/>
      <c r="DU17" s="36"/>
      <c r="DV17" s="36"/>
      <c r="DW17" s="36"/>
      <c r="DX17" s="36"/>
      <c r="DY17" s="36"/>
      <c r="DZ17" s="36"/>
      <c r="EA17" s="36"/>
      <c r="EB17" s="36"/>
      <c r="EC17" s="36"/>
      <c r="ED17" s="36"/>
      <c r="EE17" s="36"/>
      <c r="EF17" s="36"/>
      <c r="EG17" s="36"/>
      <c r="EH17" s="36"/>
      <c r="EI17" s="31"/>
      <c r="EJ17" s="36"/>
      <c r="EK17" s="36"/>
      <c r="EL17" s="36"/>
      <c r="EM17" s="36"/>
      <c r="EN17" s="36"/>
      <c r="EO17" s="36"/>
      <c r="EP17" s="36"/>
      <c r="EQ17" s="36"/>
      <c r="ER17" s="36"/>
      <c r="ES17" s="36"/>
      <c r="ET17" s="36"/>
      <c r="EU17" s="36"/>
      <c r="EV17" s="36"/>
      <c r="EW17" s="36"/>
      <c r="EX17" s="36"/>
      <c r="EY17" s="36"/>
      <c r="EZ17" s="36"/>
      <c r="FA17" s="32"/>
      <c r="FB17" s="36"/>
      <c r="FC17" s="36"/>
      <c r="FD17" s="36"/>
      <c r="FE17" s="36"/>
      <c r="FF17" s="36"/>
      <c r="FG17" s="36"/>
      <c r="FH17" s="36"/>
      <c r="FI17" s="36"/>
      <c r="FJ17" s="36"/>
      <c r="FK17" s="36"/>
      <c r="FL17" s="36"/>
      <c r="FM17" s="36"/>
      <c r="FN17" s="36"/>
      <c r="FO17" s="36"/>
      <c r="FP17" s="36"/>
      <c r="FQ17" s="33"/>
      <c r="FR17" s="33"/>
      <c r="FS17" s="34"/>
      <c r="FT17" s="30"/>
      <c r="FU17" s="36"/>
      <c r="FV17" s="36"/>
      <c r="FW17" s="36"/>
      <c r="FX17" s="36"/>
      <c r="FY17" s="36"/>
      <c r="FZ17" s="36"/>
      <c r="GA17" s="36"/>
      <c r="GB17" s="36"/>
      <c r="GC17" s="36"/>
      <c r="GD17" s="36"/>
      <c r="GE17" s="36"/>
      <c r="GF17" s="36"/>
      <c r="GG17" s="36"/>
      <c r="GH17" s="36"/>
      <c r="GI17" s="36"/>
      <c r="GJ17" s="36"/>
      <c r="GK17" s="31"/>
      <c r="GL17" s="36"/>
      <c r="GM17" s="36"/>
      <c r="GN17" s="36"/>
      <c r="GO17" s="36"/>
      <c r="GP17" s="36"/>
      <c r="GQ17" s="36"/>
      <c r="GR17" s="36"/>
      <c r="GS17" s="36"/>
      <c r="GT17" s="36"/>
      <c r="GU17" s="36"/>
      <c r="GV17" s="36"/>
      <c r="GW17" s="36"/>
      <c r="GX17" s="36"/>
      <c r="GY17" s="36"/>
      <c r="GZ17" s="36"/>
      <c r="HA17" s="36"/>
      <c r="HB17" s="36"/>
      <c r="HC17" s="32"/>
      <c r="HD17" s="36"/>
      <c r="HE17" s="36"/>
      <c r="HF17" s="36"/>
      <c r="HG17" s="36"/>
      <c r="HH17" s="36"/>
      <c r="HI17" s="36"/>
      <c r="HJ17" s="36"/>
      <c r="HK17" s="36"/>
      <c r="HL17" s="36"/>
      <c r="HM17" s="36"/>
      <c r="HN17" s="36"/>
      <c r="HO17" s="36"/>
      <c r="HP17" s="36"/>
      <c r="HQ17" s="36"/>
      <c r="HR17" s="36"/>
      <c r="HS17" s="33"/>
      <c r="HT17" s="33"/>
      <c r="HU17" s="35"/>
      <c r="HV17" s="36"/>
      <c r="HW17" s="36"/>
    </row>
    <row r="18" spans="1:231">
      <c r="A18" s="36"/>
      <c r="B18" s="30"/>
      <c r="C18" s="2"/>
      <c r="D18" s="37"/>
      <c r="E18" s="36"/>
      <c r="F18" s="36"/>
      <c r="G18" s="36"/>
      <c r="H18" s="36"/>
      <c r="I18" s="36"/>
      <c r="J18" s="36"/>
      <c r="K18" s="36"/>
      <c r="L18" s="36"/>
      <c r="M18" s="36"/>
      <c r="N18" s="30"/>
      <c r="O18" s="52"/>
      <c r="P18" s="54"/>
      <c r="Q18" s="28"/>
      <c r="R18" s="2"/>
      <c r="S18" s="2"/>
      <c r="T18" s="36"/>
      <c r="U18" s="36"/>
      <c r="V18" s="36"/>
      <c r="W18" s="36"/>
      <c r="X18" s="36"/>
      <c r="Y18" s="36"/>
      <c r="Z18" s="36"/>
      <c r="AA18" s="36"/>
      <c r="AB18" s="36"/>
      <c r="AC18" s="36"/>
      <c r="AD18" s="36"/>
      <c r="AE18" s="12">
        <f t="shared" si="30"/>
        <v>0</v>
      </c>
      <c r="AF18" s="36"/>
      <c r="AG18" s="36"/>
      <c r="AH18" s="36"/>
      <c r="AI18" s="36"/>
      <c r="AJ18" s="36"/>
      <c r="AK18" s="36"/>
      <c r="AL18" s="36"/>
      <c r="AM18" s="36"/>
      <c r="AN18" s="36"/>
      <c r="AO18" s="36"/>
      <c r="AP18" s="36"/>
      <c r="AQ18" s="36"/>
      <c r="AR18" s="36"/>
      <c r="AS18" s="36"/>
      <c r="AT18" s="36"/>
      <c r="AU18" s="36"/>
      <c r="AV18" s="36"/>
      <c r="AW18" s="10">
        <f t="shared" si="35"/>
        <v>0</v>
      </c>
      <c r="AX18" s="36"/>
      <c r="AY18" s="36"/>
      <c r="AZ18" s="36"/>
      <c r="BA18" s="6">
        <f t="shared" si="31"/>
        <v>0</v>
      </c>
      <c r="BB18" s="36"/>
      <c r="BC18" s="36"/>
      <c r="BD18" s="36"/>
      <c r="BE18" s="6">
        <f t="shared" si="32"/>
        <v>0</v>
      </c>
      <c r="BF18" s="36"/>
      <c r="BG18" s="36"/>
      <c r="BH18" s="36"/>
      <c r="BI18" s="6">
        <f t="shared" si="33"/>
        <v>0</v>
      </c>
      <c r="BJ18" s="36"/>
      <c r="BK18" s="36"/>
      <c r="BL18" s="36">
        <f t="shared" si="36"/>
        <v>0</v>
      </c>
      <c r="BM18" s="14">
        <f t="shared" si="34"/>
        <v>0</v>
      </c>
      <c r="BN18" s="33"/>
      <c r="BO18" s="35"/>
      <c r="BP18" s="30"/>
      <c r="BQ18" s="36"/>
      <c r="BR18" s="36"/>
      <c r="BS18" s="36"/>
      <c r="BT18" s="36"/>
      <c r="BU18" s="36"/>
      <c r="BV18" s="36"/>
      <c r="BW18" s="36"/>
      <c r="BX18" s="36"/>
      <c r="BY18" s="36"/>
      <c r="BZ18" s="36"/>
      <c r="CA18" s="36"/>
      <c r="CB18" s="36"/>
      <c r="CC18" s="36"/>
      <c r="CD18" s="36"/>
      <c r="CE18" s="36"/>
      <c r="CF18" s="36"/>
      <c r="CG18" s="31"/>
      <c r="CH18" s="36"/>
      <c r="CI18" s="36"/>
      <c r="CJ18" s="36"/>
      <c r="CK18" s="36"/>
      <c r="CL18" s="36"/>
      <c r="CM18" s="36"/>
      <c r="CN18" s="36"/>
      <c r="CO18" s="36"/>
      <c r="CP18" s="36"/>
      <c r="CQ18" s="36"/>
      <c r="CR18" s="36"/>
      <c r="CS18" s="36"/>
      <c r="CT18" s="36"/>
      <c r="CU18" s="36"/>
      <c r="CV18" s="36"/>
      <c r="CW18" s="36"/>
      <c r="CX18" s="36"/>
      <c r="CY18" s="32"/>
      <c r="CZ18" s="36"/>
      <c r="DA18" s="36"/>
      <c r="DB18" s="36"/>
      <c r="DC18" s="36"/>
      <c r="DD18" s="36"/>
      <c r="DE18" s="36"/>
      <c r="DF18" s="36"/>
      <c r="DG18" s="36"/>
      <c r="DH18" s="36"/>
      <c r="DI18" s="36"/>
      <c r="DJ18" s="36"/>
      <c r="DK18" s="36"/>
      <c r="DL18" s="36"/>
      <c r="DM18" s="36"/>
      <c r="DN18" s="36"/>
      <c r="DO18" s="33"/>
      <c r="DP18" s="33"/>
      <c r="DQ18" s="34"/>
      <c r="DR18" s="30"/>
      <c r="DS18" s="36"/>
      <c r="DT18" s="36"/>
      <c r="DU18" s="36"/>
      <c r="DV18" s="36"/>
      <c r="DW18" s="36"/>
      <c r="DX18" s="36"/>
      <c r="DY18" s="36"/>
      <c r="DZ18" s="36"/>
      <c r="EA18" s="36"/>
      <c r="EB18" s="36"/>
      <c r="EC18" s="36"/>
      <c r="ED18" s="36"/>
      <c r="EE18" s="36"/>
      <c r="EF18" s="36"/>
      <c r="EG18" s="36"/>
      <c r="EH18" s="36"/>
      <c r="EI18" s="31"/>
      <c r="EJ18" s="36"/>
      <c r="EK18" s="36"/>
      <c r="EL18" s="36"/>
      <c r="EM18" s="36"/>
      <c r="EN18" s="36"/>
      <c r="EO18" s="36"/>
      <c r="EP18" s="36"/>
      <c r="EQ18" s="36"/>
      <c r="ER18" s="36"/>
      <c r="ES18" s="36"/>
      <c r="ET18" s="36"/>
      <c r="EU18" s="36"/>
      <c r="EV18" s="36"/>
      <c r="EW18" s="36"/>
      <c r="EX18" s="36"/>
      <c r="EY18" s="36"/>
      <c r="EZ18" s="36"/>
      <c r="FA18" s="32"/>
      <c r="FB18" s="36"/>
      <c r="FC18" s="36"/>
      <c r="FD18" s="36"/>
      <c r="FE18" s="36"/>
      <c r="FF18" s="36"/>
      <c r="FG18" s="36"/>
      <c r="FH18" s="36"/>
      <c r="FI18" s="36"/>
      <c r="FJ18" s="36"/>
      <c r="FK18" s="36"/>
      <c r="FL18" s="36"/>
      <c r="FM18" s="36"/>
      <c r="FN18" s="36"/>
      <c r="FO18" s="36"/>
      <c r="FP18" s="36"/>
      <c r="FQ18" s="33"/>
      <c r="FR18" s="33"/>
      <c r="FS18" s="34"/>
      <c r="FT18" s="30"/>
      <c r="FU18" s="36"/>
      <c r="FV18" s="36"/>
      <c r="FW18" s="36"/>
      <c r="FX18" s="36"/>
      <c r="FY18" s="36"/>
      <c r="FZ18" s="36"/>
      <c r="GA18" s="36"/>
      <c r="GB18" s="36"/>
      <c r="GC18" s="36"/>
      <c r="GD18" s="36"/>
      <c r="GE18" s="36"/>
      <c r="GF18" s="36"/>
      <c r="GG18" s="36"/>
      <c r="GH18" s="36"/>
      <c r="GI18" s="36"/>
      <c r="GJ18" s="36"/>
      <c r="GK18" s="31"/>
      <c r="GL18" s="36"/>
      <c r="GM18" s="36"/>
      <c r="GN18" s="36"/>
      <c r="GO18" s="36"/>
      <c r="GP18" s="36"/>
      <c r="GQ18" s="36"/>
      <c r="GR18" s="36"/>
      <c r="GS18" s="36"/>
      <c r="GT18" s="36"/>
      <c r="GU18" s="36"/>
      <c r="GV18" s="36"/>
      <c r="GW18" s="36"/>
      <c r="GX18" s="36"/>
      <c r="GY18" s="36"/>
      <c r="GZ18" s="36"/>
      <c r="HA18" s="36"/>
      <c r="HB18" s="36"/>
      <c r="HC18" s="32"/>
      <c r="HD18" s="36"/>
      <c r="HE18" s="36"/>
      <c r="HF18" s="36"/>
      <c r="HG18" s="36"/>
      <c r="HH18" s="36"/>
      <c r="HI18" s="36"/>
      <c r="HJ18" s="36"/>
      <c r="HK18" s="36"/>
      <c r="HL18" s="36"/>
      <c r="HM18" s="36"/>
      <c r="HN18" s="36"/>
      <c r="HO18" s="36"/>
      <c r="HP18" s="36"/>
      <c r="HQ18" s="36"/>
      <c r="HR18" s="36"/>
      <c r="HS18" s="33"/>
      <c r="HT18" s="33"/>
      <c r="HU18" s="35"/>
      <c r="HV18" s="36"/>
      <c r="HW18" s="36"/>
    </row>
    <row r="19" spans="1:231">
      <c r="A19" s="36"/>
      <c r="B19" s="30"/>
      <c r="C19" s="2"/>
      <c r="D19" s="37"/>
      <c r="E19" s="36"/>
      <c r="F19" s="36"/>
      <c r="G19" s="36"/>
      <c r="H19" s="36"/>
      <c r="I19" s="36"/>
      <c r="J19" s="36"/>
      <c r="K19" s="36"/>
      <c r="L19" s="2"/>
      <c r="M19" s="2"/>
      <c r="N19" s="30"/>
      <c r="O19" s="52"/>
      <c r="P19" s="54"/>
      <c r="Q19" s="28"/>
      <c r="R19" s="36"/>
      <c r="S19" s="2"/>
      <c r="T19" s="36"/>
      <c r="U19" s="36"/>
      <c r="V19" s="36"/>
      <c r="W19" s="36"/>
      <c r="X19" s="36"/>
      <c r="Y19" s="36"/>
      <c r="Z19" s="36"/>
      <c r="AA19" s="36"/>
      <c r="AB19" s="36"/>
      <c r="AC19" s="36"/>
      <c r="AD19" s="36"/>
      <c r="AE19" s="12">
        <f t="shared" si="30"/>
        <v>0</v>
      </c>
      <c r="AF19" s="36"/>
      <c r="AG19" s="36"/>
      <c r="AH19" s="36"/>
      <c r="AI19" s="36"/>
      <c r="AJ19" s="36"/>
      <c r="AK19" s="36"/>
      <c r="AL19" s="36"/>
      <c r="AM19" s="36"/>
      <c r="AN19" s="36"/>
      <c r="AO19" s="36"/>
      <c r="AP19" s="36"/>
      <c r="AQ19" s="36"/>
      <c r="AR19" s="36"/>
      <c r="AS19" s="36"/>
      <c r="AT19" s="36"/>
      <c r="AU19" s="36"/>
      <c r="AV19" s="36"/>
      <c r="AW19" s="10">
        <f t="shared" si="35"/>
        <v>0</v>
      </c>
      <c r="AX19" s="36"/>
      <c r="AY19" s="36"/>
      <c r="AZ19" s="36"/>
      <c r="BA19" s="6">
        <f t="shared" si="31"/>
        <v>0</v>
      </c>
      <c r="BB19" s="36"/>
      <c r="BC19" s="36"/>
      <c r="BD19" s="36"/>
      <c r="BE19" s="6">
        <f t="shared" si="32"/>
        <v>0</v>
      </c>
      <c r="BF19" s="36"/>
      <c r="BG19" s="36"/>
      <c r="BH19" s="36"/>
      <c r="BI19" s="6">
        <f t="shared" si="33"/>
        <v>0</v>
      </c>
      <c r="BJ19" s="36"/>
      <c r="BK19" s="36"/>
      <c r="BL19" s="36">
        <f t="shared" si="36"/>
        <v>0</v>
      </c>
      <c r="BM19" s="14">
        <f t="shared" si="34"/>
        <v>0</v>
      </c>
      <c r="BN19" s="33"/>
      <c r="BO19" s="34"/>
      <c r="BP19" s="30"/>
      <c r="BQ19" s="36"/>
      <c r="BR19" s="36"/>
      <c r="BS19" s="36"/>
      <c r="BT19" s="36"/>
      <c r="BU19" s="36"/>
      <c r="BV19" s="36"/>
      <c r="BW19" s="36"/>
      <c r="BX19" s="36"/>
      <c r="BY19" s="36"/>
      <c r="BZ19" s="36"/>
      <c r="CA19" s="36"/>
      <c r="CB19" s="36"/>
      <c r="CC19" s="36"/>
      <c r="CD19" s="36"/>
      <c r="CE19" s="36"/>
      <c r="CF19" s="36"/>
      <c r="CG19" s="31"/>
      <c r="CH19" s="36"/>
      <c r="CI19" s="36"/>
      <c r="CJ19" s="36"/>
      <c r="CK19" s="36"/>
      <c r="CL19" s="36"/>
      <c r="CM19" s="36"/>
      <c r="CN19" s="36"/>
      <c r="CO19" s="36"/>
      <c r="CP19" s="36"/>
      <c r="CQ19" s="36"/>
      <c r="CR19" s="36"/>
      <c r="CS19" s="36"/>
      <c r="CT19" s="36"/>
      <c r="CU19" s="36"/>
      <c r="CV19" s="36"/>
      <c r="CW19" s="36"/>
      <c r="CX19" s="36"/>
      <c r="CY19" s="32"/>
      <c r="CZ19" s="36"/>
      <c r="DA19" s="36"/>
      <c r="DB19" s="36"/>
      <c r="DC19" s="36"/>
      <c r="DD19" s="36"/>
      <c r="DE19" s="36"/>
      <c r="DF19" s="36"/>
      <c r="DG19" s="36"/>
      <c r="DH19" s="36"/>
      <c r="DI19" s="36"/>
      <c r="DJ19" s="36"/>
      <c r="DK19" s="36"/>
      <c r="DL19" s="36"/>
      <c r="DM19" s="36"/>
      <c r="DN19" s="36"/>
      <c r="DO19" s="33"/>
      <c r="DP19" s="33"/>
      <c r="DQ19" s="34"/>
      <c r="DR19" s="30"/>
      <c r="DS19" s="36"/>
      <c r="DT19" s="36"/>
      <c r="DU19" s="36"/>
      <c r="DV19" s="36"/>
      <c r="DW19" s="36"/>
      <c r="DX19" s="36"/>
      <c r="DY19" s="36"/>
      <c r="DZ19" s="36"/>
      <c r="EA19" s="36"/>
      <c r="EB19" s="36"/>
      <c r="EC19" s="36"/>
      <c r="ED19" s="36"/>
      <c r="EE19" s="36"/>
      <c r="EF19" s="36"/>
      <c r="EG19" s="36"/>
      <c r="EH19" s="36"/>
      <c r="EI19" s="31"/>
      <c r="EJ19" s="36"/>
      <c r="EK19" s="36"/>
      <c r="EL19" s="36"/>
      <c r="EM19" s="36"/>
      <c r="EN19" s="36"/>
      <c r="EO19" s="36"/>
      <c r="EP19" s="36"/>
      <c r="EQ19" s="36"/>
      <c r="ER19" s="36"/>
      <c r="ES19" s="36"/>
      <c r="ET19" s="36"/>
      <c r="EU19" s="36"/>
      <c r="EV19" s="36"/>
      <c r="EW19" s="36"/>
      <c r="EX19" s="36"/>
      <c r="EY19" s="36"/>
      <c r="EZ19" s="36"/>
      <c r="FA19" s="32"/>
      <c r="FB19" s="36"/>
      <c r="FC19" s="36"/>
      <c r="FD19" s="36"/>
      <c r="FE19" s="36"/>
      <c r="FF19" s="36"/>
      <c r="FG19" s="36"/>
      <c r="FH19" s="36"/>
      <c r="FI19" s="36"/>
      <c r="FJ19" s="36"/>
      <c r="FK19" s="36"/>
      <c r="FL19" s="36"/>
      <c r="FM19" s="36"/>
      <c r="FN19" s="36"/>
      <c r="FO19" s="36"/>
      <c r="FP19" s="36"/>
      <c r="FQ19" s="33"/>
      <c r="FR19" s="33"/>
      <c r="FS19" s="34"/>
      <c r="FT19" s="30"/>
      <c r="FU19" s="36"/>
      <c r="FV19" s="36"/>
      <c r="FW19" s="36"/>
      <c r="FX19" s="36"/>
      <c r="FY19" s="36"/>
      <c r="FZ19" s="36"/>
      <c r="GA19" s="36"/>
      <c r="GB19" s="36"/>
      <c r="GC19" s="36"/>
      <c r="GD19" s="36"/>
      <c r="GE19" s="36"/>
      <c r="GF19" s="36"/>
      <c r="GG19" s="36"/>
      <c r="GH19" s="36"/>
      <c r="GI19" s="36"/>
      <c r="GJ19" s="36"/>
      <c r="GK19" s="31"/>
      <c r="GL19" s="36"/>
      <c r="GM19" s="36"/>
      <c r="GN19" s="36"/>
      <c r="GO19" s="36"/>
      <c r="GP19" s="36"/>
      <c r="GQ19" s="36"/>
      <c r="GR19" s="36"/>
      <c r="GS19" s="36"/>
      <c r="GT19" s="36"/>
      <c r="GU19" s="36"/>
      <c r="GV19" s="36"/>
      <c r="GW19" s="36"/>
      <c r="GX19" s="36"/>
      <c r="GY19" s="36"/>
      <c r="GZ19" s="36"/>
      <c r="HA19" s="36"/>
      <c r="HB19" s="36"/>
      <c r="HC19" s="32"/>
      <c r="HD19" s="36"/>
      <c r="HE19" s="36"/>
      <c r="HF19" s="36"/>
      <c r="HG19" s="36"/>
      <c r="HH19" s="36"/>
      <c r="HI19" s="36"/>
      <c r="HJ19" s="36"/>
      <c r="HK19" s="36"/>
      <c r="HL19" s="36"/>
      <c r="HM19" s="36"/>
      <c r="HN19" s="36"/>
      <c r="HO19" s="36"/>
      <c r="HP19" s="36"/>
      <c r="HQ19" s="36"/>
      <c r="HR19" s="36"/>
      <c r="HS19" s="33"/>
      <c r="HT19" s="33"/>
      <c r="HU19" s="35"/>
      <c r="HV19" s="36"/>
      <c r="HW19" s="36"/>
    </row>
    <row r="20" spans="1:231">
      <c r="A20" s="36"/>
      <c r="B20" s="30"/>
      <c r="C20" s="2"/>
      <c r="D20" s="37"/>
      <c r="E20" s="36"/>
      <c r="F20" s="36"/>
      <c r="G20" s="36"/>
      <c r="H20" s="36"/>
      <c r="I20" s="36"/>
      <c r="J20" s="36"/>
      <c r="K20" s="2"/>
      <c r="L20" s="54"/>
      <c r="M20" s="54"/>
      <c r="N20" s="49"/>
      <c r="O20" s="52"/>
      <c r="P20" s="54"/>
      <c r="Q20" s="28"/>
      <c r="R20" s="36"/>
      <c r="S20" s="2"/>
      <c r="T20" s="36"/>
      <c r="U20" s="36"/>
      <c r="V20" s="36"/>
      <c r="W20" s="36"/>
      <c r="X20" s="36"/>
      <c r="Y20" s="36"/>
      <c r="Z20" s="36"/>
      <c r="AA20" s="36"/>
      <c r="AB20" s="36"/>
      <c r="AC20" s="36"/>
      <c r="AD20" s="36"/>
      <c r="AE20" s="12">
        <f t="shared" si="30"/>
        <v>0</v>
      </c>
      <c r="AF20" s="36"/>
      <c r="AG20" s="36"/>
      <c r="AH20" s="36"/>
      <c r="AI20" s="36"/>
      <c r="AJ20" s="36"/>
      <c r="AK20" s="36"/>
      <c r="AL20" s="36"/>
      <c r="AM20" s="36"/>
      <c r="AN20" s="36"/>
      <c r="AO20" s="36"/>
      <c r="AP20" s="36"/>
      <c r="AQ20" s="36"/>
      <c r="AR20" s="36"/>
      <c r="AS20" s="36"/>
      <c r="AT20" s="36"/>
      <c r="AU20" s="36"/>
      <c r="AV20" s="36"/>
      <c r="AW20" s="10">
        <f t="shared" si="35"/>
        <v>0</v>
      </c>
      <c r="AX20" s="36"/>
      <c r="AY20" s="36"/>
      <c r="AZ20" s="36"/>
      <c r="BA20" s="6">
        <f t="shared" si="31"/>
        <v>0</v>
      </c>
      <c r="BB20" s="36"/>
      <c r="BC20" s="36"/>
      <c r="BD20" s="36"/>
      <c r="BE20" s="6">
        <f t="shared" si="32"/>
        <v>0</v>
      </c>
      <c r="BF20" s="36"/>
      <c r="BG20" s="36"/>
      <c r="BH20" s="36"/>
      <c r="BI20" s="6">
        <f t="shared" si="33"/>
        <v>0</v>
      </c>
      <c r="BJ20" s="36"/>
      <c r="BK20" s="36"/>
      <c r="BL20" s="36">
        <f t="shared" si="36"/>
        <v>0</v>
      </c>
      <c r="BM20" s="14">
        <f t="shared" si="34"/>
        <v>0</v>
      </c>
      <c r="BN20" s="33"/>
      <c r="BO20" s="34"/>
      <c r="BP20" s="30"/>
      <c r="BQ20" s="52"/>
      <c r="BR20" s="28"/>
      <c r="BS20" s="2"/>
      <c r="BT20" s="2"/>
      <c r="BU20" s="2"/>
      <c r="BV20" s="36"/>
      <c r="BW20" s="36"/>
      <c r="BX20" s="36"/>
      <c r="BY20" s="36"/>
      <c r="BZ20" s="36"/>
      <c r="CA20" s="36"/>
      <c r="CB20" s="36"/>
      <c r="CC20" s="36"/>
      <c r="CD20" s="36"/>
      <c r="CE20" s="36"/>
      <c r="CF20" s="36"/>
      <c r="CG20" s="31"/>
      <c r="CH20" s="36"/>
      <c r="CI20" s="36"/>
      <c r="CJ20" s="36"/>
      <c r="CK20" s="36"/>
      <c r="CL20" s="36"/>
      <c r="CM20" s="36"/>
      <c r="CN20" s="36"/>
      <c r="CO20" s="36"/>
      <c r="CP20" s="36"/>
      <c r="CQ20" s="36"/>
      <c r="CR20" s="36"/>
      <c r="CS20" s="36"/>
      <c r="CT20" s="36"/>
      <c r="CU20" s="36"/>
      <c r="CV20" s="36"/>
      <c r="CW20" s="36"/>
      <c r="CX20" s="36"/>
      <c r="CY20" s="32"/>
      <c r="CZ20" s="36"/>
      <c r="DA20" s="36"/>
      <c r="DB20" s="36"/>
      <c r="DC20" s="36"/>
      <c r="DD20" s="36"/>
      <c r="DE20" s="36"/>
      <c r="DF20" s="36"/>
      <c r="DG20" s="36"/>
      <c r="DH20" s="36"/>
      <c r="DI20" s="36"/>
      <c r="DJ20" s="36"/>
      <c r="DK20" s="36"/>
      <c r="DL20" s="36"/>
      <c r="DM20" s="36"/>
      <c r="DN20" s="36"/>
      <c r="DO20" s="33"/>
      <c r="DP20" s="33"/>
      <c r="DQ20" s="34"/>
      <c r="DR20" s="30"/>
      <c r="DS20" s="48"/>
      <c r="DT20" s="48"/>
      <c r="DU20" s="48"/>
      <c r="DV20" s="48"/>
      <c r="DW20" s="48"/>
      <c r="DX20" s="48"/>
      <c r="DY20" s="48"/>
      <c r="DZ20" s="48"/>
      <c r="EA20" s="48"/>
      <c r="EB20" s="48"/>
      <c r="EC20" s="48"/>
      <c r="ED20" s="48"/>
      <c r="EE20" s="48"/>
      <c r="EF20" s="48"/>
      <c r="EG20" s="48"/>
      <c r="EH20" s="48"/>
      <c r="EI20" s="31"/>
      <c r="EJ20" s="48"/>
      <c r="EK20" s="48"/>
      <c r="EL20" s="48"/>
      <c r="EM20" s="48"/>
      <c r="EN20" s="48"/>
      <c r="EO20" s="48"/>
      <c r="EP20" s="48"/>
      <c r="EQ20" s="48"/>
      <c r="ER20" s="48"/>
      <c r="ES20" s="48"/>
      <c r="ET20" s="48"/>
      <c r="EU20" s="48"/>
      <c r="EV20" s="48"/>
      <c r="EW20" s="48"/>
      <c r="EX20" s="48"/>
      <c r="EY20" s="48"/>
      <c r="EZ20" s="48"/>
      <c r="FA20" s="32"/>
      <c r="FB20" s="48"/>
      <c r="FC20" s="48"/>
      <c r="FD20" s="48"/>
      <c r="FE20" s="48"/>
      <c r="FF20" s="48"/>
      <c r="FG20" s="48"/>
      <c r="FH20" s="48"/>
      <c r="FI20" s="48"/>
      <c r="FJ20" s="48"/>
      <c r="FK20" s="48"/>
      <c r="FL20" s="48"/>
      <c r="FM20" s="48"/>
      <c r="FN20" s="48"/>
      <c r="FO20" s="48"/>
      <c r="FP20" s="48"/>
      <c r="FQ20" s="33"/>
      <c r="FR20" s="33"/>
      <c r="FS20" s="57"/>
      <c r="FT20" s="49"/>
      <c r="FU20" s="48"/>
      <c r="FV20" s="48"/>
      <c r="FW20" s="48"/>
      <c r="FX20" s="48"/>
      <c r="FY20" s="48"/>
      <c r="FZ20" s="48"/>
      <c r="GA20" s="48"/>
      <c r="GB20" s="48"/>
      <c r="GC20" s="48"/>
      <c r="GD20" s="48"/>
      <c r="GE20" s="48"/>
      <c r="GF20" s="48"/>
      <c r="GG20" s="48"/>
      <c r="GH20" s="48"/>
      <c r="GI20" s="48"/>
      <c r="GJ20" s="48"/>
      <c r="GK20" s="58"/>
      <c r="GL20" s="48"/>
      <c r="GM20" s="48"/>
      <c r="GN20" s="48"/>
      <c r="GO20" s="48"/>
      <c r="GP20" s="48"/>
      <c r="GQ20" s="48"/>
      <c r="GR20" s="48"/>
      <c r="GS20" s="48"/>
      <c r="GT20" s="48"/>
      <c r="GU20" s="48"/>
      <c r="GV20" s="48"/>
      <c r="GW20" s="48"/>
      <c r="GX20" s="48"/>
      <c r="GY20" s="48"/>
      <c r="GZ20" s="48"/>
      <c r="HA20" s="48"/>
      <c r="HB20" s="48"/>
      <c r="HC20" s="59"/>
      <c r="HD20" s="48"/>
      <c r="HE20" s="48"/>
      <c r="HF20" s="48"/>
      <c r="HG20" s="48"/>
      <c r="HH20" s="48"/>
      <c r="HI20" s="48"/>
      <c r="HJ20" s="48"/>
      <c r="HK20" s="48"/>
      <c r="HL20" s="48"/>
      <c r="HM20" s="48"/>
      <c r="HN20" s="48"/>
      <c r="HO20" s="48"/>
      <c r="HP20" s="48"/>
      <c r="HQ20" s="48"/>
      <c r="HR20" s="48"/>
      <c r="HS20" s="56"/>
      <c r="HT20" s="56"/>
      <c r="HU20" s="60"/>
      <c r="HV20" s="36"/>
      <c r="HW20" s="36"/>
    </row>
    <row r="21" spans="1:231">
      <c r="A21" s="36"/>
      <c r="B21" s="30"/>
      <c r="C21" s="36"/>
      <c r="D21" s="37"/>
      <c r="E21" s="36"/>
      <c r="F21" s="36"/>
      <c r="G21" s="36"/>
      <c r="H21" s="36"/>
      <c r="I21" s="36"/>
      <c r="J21" s="36"/>
      <c r="K21" s="36"/>
      <c r="L21" s="2"/>
      <c r="M21" s="2"/>
      <c r="N21" s="30"/>
      <c r="O21" s="52"/>
      <c r="P21" s="54"/>
      <c r="Q21" s="28"/>
      <c r="R21" s="36"/>
      <c r="S21" s="2"/>
      <c r="T21" s="36"/>
      <c r="U21" s="36"/>
      <c r="V21" s="36"/>
      <c r="W21" s="36"/>
      <c r="X21" s="36"/>
      <c r="Y21" s="36"/>
      <c r="Z21" s="36"/>
      <c r="AA21" s="36"/>
      <c r="AB21" s="36"/>
      <c r="AC21" s="36"/>
      <c r="AD21" s="36"/>
      <c r="AE21" s="12">
        <f t="shared" si="30"/>
        <v>0</v>
      </c>
      <c r="AF21" s="36"/>
      <c r="AG21" s="36"/>
      <c r="AH21" s="36"/>
      <c r="AI21" s="36"/>
      <c r="AJ21" s="36"/>
      <c r="AK21" s="36"/>
      <c r="AL21" s="36"/>
      <c r="AM21" s="36"/>
      <c r="AN21" s="36"/>
      <c r="AO21" s="36"/>
      <c r="AP21" s="36"/>
      <c r="AQ21" s="36"/>
      <c r="AR21" s="36"/>
      <c r="AS21" s="36"/>
      <c r="AT21" s="36"/>
      <c r="AU21" s="36"/>
      <c r="AV21" s="36"/>
      <c r="AW21" s="10">
        <f t="shared" si="35"/>
        <v>0</v>
      </c>
      <c r="AX21" s="36"/>
      <c r="AY21" s="36"/>
      <c r="AZ21" s="36"/>
      <c r="BA21" s="6">
        <f t="shared" si="31"/>
        <v>0</v>
      </c>
      <c r="BB21" s="36"/>
      <c r="BC21" s="36"/>
      <c r="BD21" s="36"/>
      <c r="BE21" s="6">
        <f t="shared" si="32"/>
        <v>0</v>
      </c>
      <c r="BF21" s="36"/>
      <c r="BG21" s="36"/>
      <c r="BH21" s="36"/>
      <c r="BI21" s="6">
        <f t="shared" si="33"/>
        <v>0</v>
      </c>
      <c r="BJ21" s="36"/>
      <c r="BK21" s="36"/>
      <c r="BL21" s="36">
        <f t="shared" si="36"/>
        <v>0</v>
      </c>
      <c r="BM21" s="14">
        <f t="shared" si="34"/>
        <v>0</v>
      </c>
      <c r="BN21" s="33"/>
      <c r="BO21" s="34"/>
      <c r="BP21" s="30"/>
      <c r="BQ21" s="52"/>
      <c r="BR21" s="28"/>
      <c r="BS21" s="2"/>
      <c r="BT21" s="36"/>
      <c r="BU21" s="2"/>
      <c r="BV21" s="36"/>
      <c r="BW21" s="36"/>
      <c r="BX21" s="36"/>
      <c r="BY21" s="36"/>
      <c r="BZ21" s="36"/>
      <c r="CA21" s="36"/>
      <c r="CB21" s="36"/>
      <c r="CC21" s="36"/>
      <c r="CD21" s="36"/>
      <c r="CE21" s="36"/>
      <c r="CF21" s="36"/>
      <c r="CG21" s="31"/>
      <c r="CH21" s="36"/>
      <c r="CI21" s="36"/>
      <c r="CJ21" s="36"/>
      <c r="CK21" s="36"/>
      <c r="CL21" s="36"/>
      <c r="CM21" s="36"/>
      <c r="CN21" s="36"/>
      <c r="CO21" s="36"/>
      <c r="CP21" s="36"/>
      <c r="CQ21" s="36"/>
      <c r="CR21" s="36"/>
      <c r="CS21" s="36"/>
      <c r="CT21" s="36"/>
      <c r="CU21" s="36"/>
      <c r="CV21" s="36"/>
      <c r="CW21" s="36"/>
      <c r="CX21" s="36"/>
      <c r="CY21" s="32"/>
      <c r="CZ21" s="36"/>
      <c r="DA21" s="36"/>
      <c r="DB21" s="36"/>
      <c r="DC21" s="36"/>
      <c r="DD21" s="36"/>
      <c r="DE21" s="36"/>
      <c r="DF21" s="36"/>
      <c r="DG21" s="36"/>
      <c r="DH21" s="36"/>
      <c r="DI21" s="36"/>
      <c r="DJ21" s="36"/>
      <c r="DK21" s="36"/>
      <c r="DL21" s="36"/>
      <c r="DM21" s="36"/>
      <c r="DN21" s="36"/>
      <c r="DO21" s="33"/>
      <c r="DP21" s="33"/>
      <c r="DQ21" s="34"/>
      <c r="DR21" s="30"/>
      <c r="DS21" s="52"/>
      <c r="DT21" s="28"/>
      <c r="DU21" s="28"/>
      <c r="DV21" s="36"/>
      <c r="DW21" s="2"/>
      <c r="DX21" s="36"/>
      <c r="DY21" s="36"/>
      <c r="DZ21" s="36"/>
      <c r="EA21" s="36"/>
      <c r="EB21" s="36"/>
      <c r="EC21" s="36"/>
      <c r="ED21" s="36"/>
      <c r="EE21" s="36"/>
      <c r="EF21" s="36"/>
      <c r="EG21" s="36"/>
      <c r="EH21" s="36"/>
      <c r="EI21" s="31"/>
      <c r="EJ21" s="36"/>
      <c r="EK21" s="36"/>
      <c r="EL21" s="36"/>
      <c r="EM21" s="36"/>
      <c r="EN21" s="36"/>
      <c r="EO21" s="36"/>
      <c r="EP21" s="36"/>
      <c r="EQ21" s="36"/>
      <c r="ER21" s="36"/>
      <c r="ES21" s="36"/>
      <c r="ET21" s="36"/>
      <c r="EU21" s="36"/>
      <c r="EV21" s="36"/>
      <c r="EW21" s="36"/>
      <c r="EX21" s="36"/>
      <c r="EY21" s="36"/>
      <c r="EZ21" s="36"/>
      <c r="FA21" s="32"/>
      <c r="FB21" s="36"/>
      <c r="FC21" s="36"/>
      <c r="FD21" s="36"/>
      <c r="FE21" s="36"/>
      <c r="FF21" s="36"/>
      <c r="FG21" s="36"/>
      <c r="FH21" s="36"/>
      <c r="FI21" s="36"/>
      <c r="FJ21" s="36"/>
      <c r="FK21" s="36"/>
      <c r="FL21" s="36"/>
      <c r="FM21" s="36"/>
      <c r="FN21" s="36"/>
      <c r="FO21" s="36"/>
      <c r="FP21" s="36"/>
      <c r="FQ21" s="33"/>
      <c r="FR21" s="33"/>
      <c r="FS21" s="34"/>
      <c r="FT21" s="30"/>
      <c r="FU21" s="36"/>
      <c r="FV21" s="36"/>
      <c r="FW21" s="36"/>
      <c r="FX21" s="36"/>
      <c r="FY21" s="36"/>
      <c r="FZ21" s="36"/>
      <c r="GA21" s="36"/>
      <c r="GB21" s="36"/>
      <c r="GC21" s="36"/>
      <c r="GD21" s="36"/>
      <c r="GE21" s="36"/>
      <c r="GF21" s="36"/>
      <c r="GG21" s="36"/>
      <c r="GH21" s="36"/>
      <c r="GI21" s="36"/>
      <c r="GJ21" s="36"/>
      <c r="GK21" s="31"/>
      <c r="GL21" s="36"/>
      <c r="GM21" s="36"/>
      <c r="GN21" s="36"/>
      <c r="GO21" s="36"/>
      <c r="GP21" s="36"/>
      <c r="GQ21" s="36"/>
      <c r="GR21" s="36"/>
      <c r="GS21" s="36"/>
      <c r="GT21" s="36"/>
      <c r="GU21" s="36"/>
      <c r="GV21" s="36"/>
      <c r="GW21" s="36"/>
      <c r="GX21" s="36"/>
      <c r="GY21" s="36"/>
      <c r="GZ21" s="36"/>
      <c r="HA21" s="36"/>
      <c r="HB21" s="36"/>
      <c r="HC21" s="32"/>
      <c r="HD21" s="36"/>
      <c r="HE21" s="36"/>
      <c r="HF21" s="36"/>
      <c r="HG21" s="36"/>
      <c r="HH21" s="36"/>
      <c r="HI21" s="36"/>
      <c r="HJ21" s="36"/>
      <c r="HK21" s="36"/>
      <c r="HL21" s="36"/>
      <c r="HM21" s="36"/>
      <c r="HN21" s="36"/>
      <c r="HO21" s="36"/>
      <c r="HP21" s="36"/>
      <c r="HQ21" s="36"/>
      <c r="HR21" s="36"/>
      <c r="HS21" s="33"/>
      <c r="HT21" s="33"/>
      <c r="HU21" s="35"/>
      <c r="HV21" s="36"/>
      <c r="HW21" s="36"/>
    </row>
    <row r="22" spans="1:231">
      <c r="A22" s="36"/>
      <c r="B22" s="30"/>
      <c r="C22" s="36"/>
      <c r="D22" s="37"/>
      <c r="E22" s="36"/>
      <c r="F22" s="36"/>
      <c r="G22" s="36"/>
      <c r="H22" s="2"/>
      <c r="I22" s="36"/>
      <c r="J22" s="36"/>
      <c r="K22" s="36"/>
      <c r="L22" s="36"/>
      <c r="M22" s="36"/>
      <c r="N22" s="30"/>
      <c r="O22" s="52"/>
      <c r="P22" s="28"/>
      <c r="Q22" s="28"/>
      <c r="R22" s="36"/>
      <c r="S22" s="2"/>
      <c r="T22" s="36"/>
      <c r="U22" s="36"/>
      <c r="V22" s="36"/>
      <c r="W22" s="36"/>
      <c r="X22" s="36"/>
      <c r="Y22" s="36"/>
      <c r="Z22" s="36"/>
      <c r="AA22" s="36"/>
      <c r="AB22" s="36"/>
      <c r="AC22" s="36"/>
      <c r="AD22" s="36"/>
      <c r="AE22" s="12">
        <f t="shared" si="30"/>
        <v>0</v>
      </c>
      <c r="AF22" s="36"/>
      <c r="AG22" s="36"/>
      <c r="AH22" s="36"/>
      <c r="AI22" s="36"/>
      <c r="AJ22" s="36"/>
      <c r="AK22" s="36"/>
      <c r="AL22" s="36"/>
      <c r="AM22" s="36"/>
      <c r="AN22" s="36"/>
      <c r="AO22" s="36"/>
      <c r="AP22" s="36"/>
      <c r="AQ22" s="36"/>
      <c r="AR22" s="36"/>
      <c r="AS22" s="36"/>
      <c r="AT22" s="36"/>
      <c r="AU22" s="36"/>
      <c r="AV22" s="36"/>
      <c r="AW22" s="40"/>
      <c r="AX22" s="36"/>
      <c r="AY22" s="36"/>
      <c r="AZ22" s="36"/>
      <c r="BA22" s="6">
        <f t="shared" si="31"/>
        <v>0</v>
      </c>
      <c r="BB22" s="36"/>
      <c r="BC22" s="36"/>
      <c r="BD22" s="36"/>
      <c r="BE22" s="6">
        <f t="shared" si="32"/>
        <v>0</v>
      </c>
      <c r="BF22" s="36"/>
      <c r="BG22" s="36"/>
      <c r="BH22" s="36"/>
      <c r="BI22" s="6">
        <f t="shared" si="33"/>
        <v>0</v>
      </c>
      <c r="BJ22" s="36"/>
      <c r="BK22" s="36"/>
      <c r="BL22" s="36">
        <f t="shared" si="36"/>
        <v>0</v>
      </c>
      <c r="BM22" s="14">
        <f t="shared" si="34"/>
        <v>0</v>
      </c>
      <c r="BN22" s="33"/>
      <c r="BO22" s="34"/>
      <c r="BP22" s="30"/>
      <c r="BQ22" s="36"/>
      <c r="BR22" s="36"/>
      <c r="BS22" s="36"/>
      <c r="BT22" s="36"/>
      <c r="BU22" s="36"/>
      <c r="BV22" s="36"/>
      <c r="BW22" s="36"/>
      <c r="BX22" s="36"/>
      <c r="BY22" s="36"/>
      <c r="BZ22" s="36"/>
      <c r="CA22" s="36"/>
      <c r="CB22" s="36"/>
      <c r="CC22" s="36"/>
      <c r="CD22" s="36"/>
      <c r="CE22" s="36"/>
      <c r="CF22" s="36"/>
      <c r="CG22" s="31"/>
      <c r="CH22" s="36"/>
      <c r="CI22" s="36"/>
      <c r="CJ22" s="36"/>
      <c r="CK22" s="36"/>
      <c r="CL22" s="36"/>
      <c r="CM22" s="36"/>
      <c r="CN22" s="36"/>
      <c r="CO22" s="36"/>
      <c r="CP22" s="36"/>
      <c r="CQ22" s="36"/>
      <c r="CR22" s="36"/>
      <c r="CS22" s="36"/>
      <c r="CT22" s="36"/>
      <c r="CU22" s="36"/>
      <c r="CV22" s="36"/>
      <c r="CW22" s="36"/>
      <c r="CX22" s="36"/>
      <c r="CY22" s="32"/>
      <c r="CZ22" s="36"/>
      <c r="DA22" s="36"/>
      <c r="DB22" s="36"/>
      <c r="DC22" s="36"/>
      <c r="DD22" s="36"/>
      <c r="DE22" s="36"/>
      <c r="DF22" s="36"/>
      <c r="DG22" s="36"/>
      <c r="DH22" s="36"/>
      <c r="DI22" s="36"/>
      <c r="DJ22" s="36"/>
      <c r="DK22" s="36"/>
      <c r="DL22" s="36"/>
      <c r="DM22" s="36"/>
      <c r="DN22" s="36"/>
      <c r="DO22" s="33"/>
      <c r="DP22" s="33"/>
      <c r="DQ22" s="34"/>
      <c r="DR22" s="30"/>
      <c r="DS22" s="36"/>
      <c r="DT22" s="36"/>
      <c r="DU22" s="36"/>
      <c r="DV22" s="36"/>
      <c r="DW22" s="36"/>
      <c r="DX22" s="36"/>
      <c r="DY22" s="36"/>
      <c r="DZ22" s="36"/>
      <c r="EA22" s="36"/>
      <c r="EB22" s="36"/>
      <c r="EC22" s="36"/>
      <c r="ED22" s="36"/>
      <c r="EE22" s="36"/>
      <c r="EF22" s="36"/>
      <c r="EG22" s="36"/>
      <c r="EH22" s="36"/>
      <c r="EI22" s="31"/>
      <c r="EJ22" s="36"/>
      <c r="EK22" s="36"/>
      <c r="EL22" s="36"/>
      <c r="EM22" s="36"/>
      <c r="EN22" s="36"/>
      <c r="EO22" s="36"/>
      <c r="EP22" s="36"/>
      <c r="EQ22" s="36"/>
      <c r="ER22" s="36"/>
      <c r="ES22" s="36"/>
      <c r="ET22" s="36"/>
      <c r="EU22" s="36"/>
      <c r="EV22" s="36"/>
      <c r="EW22" s="36"/>
      <c r="EX22" s="36"/>
      <c r="EY22" s="36"/>
      <c r="EZ22" s="36"/>
      <c r="FA22" s="32"/>
      <c r="FB22" s="36"/>
      <c r="FC22" s="36"/>
      <c r="FD22" s="36"/>
      <c r="FE22" s="36"/>
      <c r="FF22" s="36"/>
      <c r="FG22" s="36"/>
      <c r="FH22" s="36"/>
      <c r="FI22" s="36"/>
      <c r="FJ22" s="36"/>
      <c r="FK22" s="36"/>
      <c r="FL22" s="36"/>
      <c r="FM22" s="36"/>
      <c r="FN22" s="36"/>
      <c r="FO22" s="36"/>
      <c r="FP22" s="36"/>
      <c r="FQ22" s="33"/>
      <c r="FR22" s="33"/>
      <c r="FS22" s="34"/>
      <c r="FT22" s="30"/>
      <c r="FU22" s="36"/>
      <c r="FV22" s="36"/>
      <c r="FW22" s="36"/>
      <c r="FX22" s="36"/>
      <c r="FY22" s="36"/>
      <c r="FZ22" s="36"/>
      <c r="GA22" s="36"/>
      <c r="GB22" s="36"/>
      <c r="GC22" s="36"/>
      <c r="GD22" s="36"/>
      <c r="GE22" s="36"/>
      <c r="GF22" s="36"/>
      <c r="GG22" s="36"/>
      <c r="GH22" s="36"/>
      <c r="GI22" s="36"/>
      <c r="GJ22" s="36"/>
      <c r="GK22" s="31"/>
      <c r="GL22" s="36"/>
      <c r="GM22" s="36"/>
      <c r="GN22" s="36"/>
      <c r="GO22" s="36"/>
      <c r="GP22" s="36"/>
      <c r="GQ22" s="36"/>
      <c r="GR22" s="36"/>
      <c r="GS22" s="36"/>
      <c r="GT22" s="36"/>
      <c r="GU22" s="36"/>
      <c r="GV22" s="36"/>
      <c r="GW22" s="36"/>
      <c r="GX22" s="36"/>
      <c r="GY22" s="36"/>
      <c r="GZ22" s="36"/>
      <c r="HA22" s="36"/>
      <c r="HB22" s="36"/>
      <c r="HC22" s="32"/>
      <c r="HD22" s="36"/>
      <c r="HE22" s="36"/>
      <c r="HF22" s="36"/>
      <c r="HG22" s="36"/>
      <c r="HH22" s="36"/>
      <c r="HI22" s="36"/>
      <c r="HJ22" s="36"/>
      <c r="HK22" s="36"/>
      <c r="HL22" s="36"/>
      <c r="HM22" s="36"/>
      <c r="HN22" s="36"/>
      <c r="HO22" s="36"/>
      <c r="HP22" s="36"/>
      <c r="HQ22" s="36"/>
      <c r="HR22" s="36"/>
      <c r="HS22" s="33"/>
      <c r="HT22" s="33"/>
      <c r="HU22" s="35"/>
      <c r="HV22" s="36"/>
      <c r="HW22" s="36"/>
    </row>
    <row r="23" spans="1:231">
      <c r="A23" s="36"/>
      <c r="B23" s="30"/>
      <c r="C23" s="36"/>
      <c r="D23" s="37"/>
      <c r="E23" s="36"/>
      <c r="F23" s="36"/>
      <c r="G23" s="36"/>
      <c r="H23" s="36"/>
      <c r="I23" s="36"/>
      <c r="J23" s="36"/>
      <c r="K23" s="36"/>
      <c r="L23" s="36"/>
      <c r="M23" s="36"/>
      <c r="N23" s="30"/>
      <c r="O23" s="52"/>
      <c r="P23" s="28"/>
      <c r="Q23" s="28"/>
      <c r="R23" s="36"/>
      <c r="S23" s="2"/>
      <c r="T23" s="36"/>
      <c r="U23" s="36"/>
      <c r="V23" s="36"/>
      <c r="W23" s="36"/>
      <c r="X23" s="36"/>
      <c r="Y23" s="36"/>
      <c r="Z23" s="36"/>
      <c r="AA23" s="36"/>
      <c r="AB23" s="36"/>
      <c r="AC23" s="36"/>
      <c r="AD23" s="36"/>
      <c r="AE23" s="12">
        <f t="shared" si="30"/>
        <v>0</v>
      </c>
      <c r="AF23" s="36"/>
      <c r="AG23" s="36"/>
      <c r="AH23" s="36"/>
      <c r="AI23" s="36"/>
      <c r="AJ23" s="36"/>
      <c r="AK23" s="36"/>
      <c r="AL23" s="36"/>
      <c r="AM23" s="36"/>
      <c r="AN23" s="36"/>
      <c r="AO23" s="36"/>
      <c r="AP23" s="36"/>
      <c r="AQ23" s="36"/>
      <c r="AR23" s="36"/>
      <c r="AS23" s="36"/>
      <c r="AT23" s="36"/>
      <c r="AU23" s="36"/>
      <c r="AV23" s="36"/>
      <c r="AW23" s="40"/>
      <c r="AX23" s="36"/>
      <c r="AY23" s="36"/>
      <c r="AZ23" s="36"/>
      <c r="BA23" s="6">
        <f t="shared" si="31"/>
        <v>0</v>
      </c>
      <c r="BB23" s="36"/>
      <c r="BC23" s="36"/>
      <c r="BD23" s="36"/>
      <c r="BE23" s="6">
        <f t="shared" si="32"/>
        <v>0</v>
      </c>
      <c r="BF23" s="36"/>
      <c r="BG23" s="36"/>
      <c r="BH23" s="36"/>
      <c r="BI23" s="6">
        <f t="shared" si="33"/>
        <v>0</v>
      </c>
      <c r="BJ23" s="36"/>
      <c r="BK23" s="36"/>
      <c r="BL23" s="36">
        <f t="shared" si="36"/>
        <v>0</v>
      </c>
      <c r="BM23" s="14">
        <f t="shared" si="34"/>
        <v>0</v>
      </c>
      <c r="BN23" s="33"/>
      <c r="BO23" s="34"/>
      <c r="BP23" s="30"/>
      <c r="BQ23" s="36"/>
      <c r="BR23" s="36"/>
      <c r="BS23" s="36"/>
      <c r="BT23" s="36"/>
      <c r="BU23" s="36"/>
      <c r="BV23" s="36"/>
      <c r="BW23" s="36"/>
      <c r="BX23" s="36"/>
      <c r="BY23" s="36"/>
      <c r="BZ23" s="36"/>
      <c r="CA23" s="36"/>
      <c r="CB23" s="36"/>
      <c r="CC23" s="36"/>
      <c r="CD23" s="36"/>
      <c r="CE23" s="36"/>
      <c r="CF23" s="36"/>
      <c r="CG23" s="31"/>
      <c r="CH23" s="36"/>
      <c r="CI23" s="36"/>
      <c r="CJ23" s="36"/>
      <c r="CK23" s="36"/>
      <c r="CL23" s="36"/>
      <c r="CM23" s="36"/>
      <c r="CN23" s="36"/>
      <c r="CO23" s="36"/>
      <c r="CP23" s="36"/>
      <c r="CQ23" s="36"/>
      <c r="CR23" s="36"/>
      <c r="CS23" s="36"/>
      <c r="CT23" s="36"/>
      <c r="CU23" s="36"/>
      <c r="CV23" s="36"/>
      <c r="CW23" s="36"/>
      <c r="CX23" s="36"/>
      <c r="CY23" s="32"/>
      <c r="CZ23" s="36"/>
      <c r="DA23" s="36"/>
      <c r="DB23" s="36"/>
      <c r="DC23" s="36"/>
      <c r="DD23" s="36"/>
      <c r="DE23" s="36"/>
      <c r="DF23" s="36"/>
      <c r="DG23" s="36"/>
      <c r="DH23" s="36"/>
      <c r="DI23" s="36"/>
      <c r="DJ23" s="36"/>
      <c r="DK23" s="36"/>
      <c r="DL23" s="36"/>
      <c r="DM23" s="36"/>
      <c r="DN23" s="36"/>
      <c r="DO23" s="33"/>
      <c r="DP23" s="33"/>
      <c r="DQ23" s="34"/>
      <c r="DR23" s="30"/>
      <c r="DS23" s="36"/>
      <c r="DT23" s="36"/>
      <c r="DU23" s="36"/>
      <c r="DV23" s="36"/>
      <c r="DW23" s="36"/>
      <c r="DX23" s="36"/>
      <c r="DY23" s="36"/>
      <c r="DZ23" s="36"/>
      <c r="EA23" s="36"/>
      <c r="EB23" s="36"/>
      <c r="EC23" s="36"/>
      <c r="ED23" s="36"/>
      <c r="EE23" s="36"/>
      <c r="EF23" s="36"/>
      <c r="EG23" s="36"/>
      <c r="EH23" s="36"/>
      <c r="EI23" s="31"/>
      <c r="EJ23" s="36"/>
      <c r="EK23" s="36"/>
      <c r="EL23" s="36"/>
      <c r="EM23" s="36"/>
      <c r="EN23" s="36"/>
      <c r="EO23" s="36"/>
      <c r="EP23" s="36"/>
      <c r="EQ23" s="36"/>
      <c r="ER23" s="36"/>
      <c r="ES23" s="36"/>
      <c r="ET23" s="36"/>
      <c r="EU23" s="36"/>
      <c r="EV23" s="36"/>
      <c r="EW23" s="36"/>
      <c r="EX23" s="36"/>
      <c r="EY23" s="36"/>
      <c r="EZ23" s="36"/>
      <c r="FA23" s="32"/>
      <c r="FB23" s="36"/>
      <c r="FC23" s="36"/>
      <c r="FD23" s="36"/>
      <c r="FE23" s="36"/>
      <c r="FF23" s="36"/>
      <c r="FG23" s="36"/>
      <c r="FH23" s="36"/>
      <c r="FI23" s="36"/>
      <c r="FJ23" s="36"/>
      <c r="FK23" s="36"/>
      <c r="FL23" s="36"/>
      <c r="FM23" s="36"/>
      <c r="FN23" s="36"/>
      <c r="FO23" s="36"/>
      <c r="FP23" s="36"/>
      <c r="FQ23" s="33"/>
      <c r="FR23" s="33"/>
      <c r="FS23" s="34"/>
      <c r="FT23" s="30"/>
      <c r="FU23" s="36"/>
      <c r="FV23" s="36"/>
      <c r="FW23" s="36"/>
      <c r="FX23" s="36"/>
      <c r="FY23" s="36"/>
      <c r="FZ23" s="36"/>
      <c r="GA23" s="36"/>
      <c r="GB23" s="36"/>
      <c r="GC23" s="36"/>
      <c r="GD23" s="36"/>
      <c r="GE23" s="36"/>
      <c r="GF23" s="36"/>
      <c r="GG23" s="36"/>
      <c r="GH23" s="36"/>
      <c r="GI23" s="36"/>
      <c r="GJ23" s="36"/>
      <c r="GK23" s="31"/>
      <c r="GL23" s="36"/>
      <c r="GM23" s="36"/>
      <c r="GN23" s="36"/>
      <c r="GO23" s="36"/>
      <c r="GP23" s="36"/>
      <c r="GQ23" s="36"/>
      <c r="GR23" s="36"/>
      <c r="GS23" s="36"/>
      <c r="GT23" s="36"/>
      <c r="GU23" s="36"/>
      <c r="GV23" s="36"/>
      <c r="GW23" s="36"/>
      <c r="GX23" s="36"/>
      <c r="GY23" s="36"/>
      <c r="GZ23" s="36"/>
      <c r="HA23" s="36"/>
      <c r="HB23" s="36"/>
      <c r="HC23" s="32"/>
      <c r="HD23" s="36"/>
      <c r="HE23" s="36"/>
      <c r="HF23" s="36"/>
      <c r="HG23" s="36"/>
      <c r="HH23" s="36"/>
      <c r="HI23" s="36"/>
      <c r="HJ23" s="36"/>
      <c r="HK23" s="36"/>
      <c r="HL23" s="36"/>
      <c r="HM23" s="36"/>
      <c r="HN23" s="36"/>
      <c r="HO23" s="36"/>
      <c r="HP23" s="36"/>
      <c r="HQ23" s="36"/>
      <c r="HR23" s="36"/>
      <c r="HS23" s="33"/>
      <c r="HT23" s="33"/>
      <c r="HU23" s="35"/>
      <c r="HV23" s="36"/>
      <c r="HW23" s="36"/>
    </row>
    <row r="24" spans="1:231">
      <c r="A24" s="36"/>
      <c r="B24" s="30"/>
      <c r="C24" s="2"/>
      <c r="D24" s="37"/>
      <c r="E24" s="36"/>
      <c r="F24" s="36"/>
      <c r="G24" s="36"/>
      <c r="H24" s="2"/>
      <c r="I24" s="36"/>
      <c r="J24" s="36"/>
      <c r="K24" s="2"/>
      <c r="L24" s="2"/>
      <c r="M24" s="2"/>
      <c r="N24" s="30"/>
      <c r="O24" s="52"/>
      <c r="P24" s="28"/>
      <c r="Q24" s="28"/>
      <c r="R24" s="36"/>
      <c r="S24" s="2"/>
      <c r="T24" s="36"/>
      <c r="U24" s="36"/>
      <c r="V24" s="36"/>
      <c r="W24" s="36"/>
      <c r="X24" s="36"/>
      <c r="Y24" s="36"/>
      <c r="Z24" s="36"/>
      <c r="AA24" s="36"/>
      <c r="AB24" s="36"/>
      <c r="AC24" s="36"/>
      <c r="AD24" s="36"/>
      <c r="AE24" s="12">
        <f t="shared" si="30"/>
        <v>0</v>
      </c>
      <c r="AF24" s="36"/>
      <c r="AG24" s="36"/>
      <c r="AH24" s="36"/>
      <c r="AI24" s="36"/>
      <c r="AJ24" s="36"/>
      <c r="AK24" s="36"/>
      <c r="AL24" s="36"/>
      <c r="AM24" s="36"/>
      <c r="AN24" s="36"/>
      <c r="AO24" s="36"/>
      <c r="AP24" s="36"/>
      <c r="AQ24" s="36"/>
      <c r="AR24" s="36"/>
      <c r="AS24" s="36"/>
      <c r="AT24" s="36"/>
      <c r="AU24" s="36"/>
      <c r="AV24" s="36"/>
      <c r="AW24" s="40"/>
      <c r="AX24" s="36"/>
      <c r="AY24" s="36"/>
      <c r="AZ24" s="36"/>
      <c r="BA24" s="6">
        <f t="shared" si="31"/>
        <v>0</v>
      </c>
      <c r="BB24" s="36"/>
      <c r="BC24" s="36"/>
      <c r="BD24" s="36"/>
      <c r="BE24" s="6">
        <f t="shared" si="32"/>
        <v>0</v>
      </c>
      <c r="BF24" s="36"/>
      <c r="BG24" s="36"/>
      <c r="BH24" s="36"/>
      <c r="BI24" s="6">
        <f t="shared" si="33"/>
        <v>0</v>
      </c>
      <c r="BJ24" s="36"/>
      <c r="BK24" s="36"/>
      <c r="BL24" s="36">
        <f t="shared" si="36"/>
        <v>0</v>
      </c>
      <c r="BM24" s="14">
        <f t="shared" si="34"/>
        <v>0</v>
      </c>
      <c r="BN24" s="33"/>
      <c r="BO24" s="34"/>
      <c r="BP24" s="30"/>
      <c r="BQ24" s="52"/>
      <c r="BR24" s="28"/>
      <c r="BS24" s="2"/>
      <c r="BT24" s="36"/>
      <c r="BU24" s="2"/>
      <c r="BV24" s="36"/>
      <c r="BW24" s="36"/>
      <c r="BX24" s="36"/>
      <c r="BY24" s="36"/>
      <c r="BZ24" s="36"/>
      <c r="CA24" s="36"/>
      <c r="CB24" s="36"/>
      <c r="CC24" s="36"/>
      <c r="CD24" s="36"/>
      <c r="CE24" s="36"/>
      <c r="CF24" s="36"/>
      <c r="CG24" s="31"/>
      <c r="CH24" s="36"/>
      <c r="CI24" s="36"/>
      <c r="CJ24" s="36"/>
      <c r="CK24" s="36"/>
      <c r="CL24" s="36"/>
      <c r="CM24" s="36"/>
      <c r="CN24" s="36"/>
      <c r="CO24" s="36"/>
      <c r="CP24" s="36"/>
      <c r="CQ24" s="36"/>
      <c r="CR24" s="36"/>
      <c r="CS24" s="36"/>
      <c r="CT24" s="36"/>
      <c r="CU24" s="36"/>
      <c r="CV24" s="36"/>
      <c r="CW24" s="36"/>
      <c r="CX24" s="36"/>
      <c r="CY24" s="32"/>
      <c r="CZ24" s="36"/>
      <c r="DA24" s="36"/>
      <c r="DB24" s="36"/>
      <c r="DC24" s="36"/>
      <c r="DD24" s="36"/>
      <c r="DE24" s="36"/>
      <c r="DF24" s="36"/>
      <c r="DG24" s="36"/>
      <c r="DH24" s="36"/>
      <c r="DI24" s="36"/>
      <c r="DJ24" s="36"/>
      <c r="DK24" s="36"/>
      <c r="DL24" s="36"/>
      <c r="DM24" s="36"/>
      <c r="DN24" s="36"/>
      <c r="DO24" s="33"/>
      <c r="DP24" s="33"/>
      <c r="DQ24" s="34"/>
      <c r="DR24" s="30"/>
      <c r="DS24" s="36"/>
      <c r="DT24" s="36"/>
      <c r="DU24" s="36"/>
      <c r="DV24" s="36"/>
      <c r="DW24" s="36"/>
      <c r="DX24" s="36"/>
      <c r="DY24" s="36"/>
      <c r="DZ24" s="36"/>
      <c r="EA24" s="36"/>
      <c r="EB24" s="36"/>
      <c r="EC24" s="36"/>
      <c r="ED24" s="36"/>
      <c r="EE24" s="36"/>
      <c r="EF24" s="36"/>
      <c r="EG24" s="36"/>
      <c r="EH24" s="36"/>
      <c r="EI24" s="31"/>
      <c r="EJ24" s="36"/>
      <c r="EK24" s="36"/>
      <c r="EL24" s="36"/>
      <c r="EM24" s="36"/>
      <c r="EN24" s="36"/>
      <c r="EO24" s="36"/>
      <c r="EP24" s="36"/>
      <c r="EQ24" s="36"/>
      <c r="ER24" s="36"/>
      <c r="ES24" s="36"/>
      <c r="ET24" s="36"/>
      <c r="EU24" s="36"/>
      <c r="EV24" s="36"/>
      <c r="EW24" s="36"/>
      <c r="EX24" s="36"/>
      <c r="EY24" s="36"/>
      <c r="EZ24" s="36"/>
      <c r="FA24" s="32"/>
      <c r="FB24" s="36"/>
      <c r="FC24" s="36"/>
      <c r="FD24" s="36"/>
      <c r="FE24" s="36"/>
      <c r="FF24" s="36"/>
      <c r="FG24" s="36"/>
      <c r="FH24" s="36"/>
      <c r="FI24" s="36"/>
      <c r="FJ24" s="36"/>
      <c r="FK24" s="36"/>
      <c r="FL24" s="36"/>
      <c r="FM24" s="36"/>
      <c r="FN24" s="36"/>
      <c r="FO24" s="36"/>
      <c r="FP24" s="36"/>
      <c r="FQ24" s="33"/>
      <c r="FR24" s="33"/>
      <c r="FS24" s="34"/>
      <c r="FT24" s="30"/>
      <c r="FU24" s="36"/>
      <c r="FV24" s="36"/>
      <c r="FW24" s="36"/>
      <c r="FX24" s="36"/>
      <c r="FY24" s="36"/>
      <c r="FZ24" s="36"/>
      <c r="GA24" s="36"/>
      <c r="GB24" s="36"/>
      <c r="GC24" s="36"/>
      <c r="GD24" s="36"/>
      <c r="GE24" s="36"/>
      <c r="GF24" s="36"/>
      <c r="GG24" s="36"/>
      <c r="GH24" s="36"/>
      <c r="GI24" s="36"/>
      <c r="GJ24" s="36"/>
      <c r="GK24" s="31"/>
      <c r="GL24" s="36"/>
      <c r="GM24" s="36"/>
      <c r="GN24" s="36"/>
      <c r="GO24" s="36"/>
      <c r="GP24" s="36"/>
      <c r="GQ24" s="36"/>
      <c r="GR24" s="36"/>
      <c r="GS24" s="36"/>
      <c r="GT24" s="36"/>
      <c r="GU24" s="36"/>
      <c r="GV24" s="36"/>
      <c r="GW24" s="36"/>
      <c r="GX24" s="36"/>
      <c r="GY24" s="36"/>
      <c r="GZ24" s="36"/>
      <c r="HA24" s="36"/>
      <c r="HB24" s="36"/>
      <c r="HC24" s="32"/>
      <c r="HD24" s="36"/>
      <c r="HE24" s="36"/>
      <c r="HF24" s="36"/>
      <c r="HG24" s="36"/>
      <c r="HH24" s="36"/>
      <c r="HI24" s="36"/>
      <c r="HJ24" s="36"/>
      <c r="HK24" s="36"/>
      <c r="HL24" s="36"/>
      <c r="HM24" s="36"/>
      <c r="HN24" s="36"/>
      <c r="HO24" s="36"/>
      <c r="HP24" s="36"/>
      <c r="HQ24" s="36"/>
      <c r="HR24" s="36"/>
      <c r="HS24" s="33"/>
      <c r="HT24" s="33"/>
      <c r="HU24" s="35"/>
      <c r="HV24" s="36"/>
      <c r="HW24" s="36"/>
    </row>
    <row r="25" spans="1:231">
      <c r="A25" s="36"/>
      <c r="B25" s="30"/>
      <c r="C25" s="36"/>
      <c r="D25" s="37"/>
      <c r="E25" s="36"/>
      <c r="F25" s="36"/>
      <c r="G25" s="2"/>
      <c r="H25" s="2"/>
      <c r="I25" s="36"/>
      <c r="J25" s="36"/>
      <c r="K25" s="36"/>
      <c r="L25" s="36"/>
      <c r="M25" s="36"/>
      <c r="N25" s="30"/>
      <c r="O25" s="52"/>
      <c r="P25" s="28"/>
      <c r="Q25" s="28"/>
      <c r="R25" s="36"/>
      <c r="S25" s="2"/>
      <c r="T25" s="36"/>
      <c r="U25" s="36"/>
      <c r="V25" s="36"/>
      <c r="W25" s="36"/>
      <c r="X25" s="36"/>
      <c r="Y25" s="36"/>
      <c r="Z25" s="36"/>
      <c r="AA25" s="36"/>
      <c r="AB25" s="36"/>
      <c r="AC25" s="36"/>
      <c r="AD25" s="36"/>
      <c r="AE25" s="12">
        <f t="shared" si="30"/>
        <v>0</v>
      </c>
      <c r="AF25" s="36"/>
      <c r="AG25" s="36"/>
      <c r="AH25" s="36"/>
      <c r="AI25" s="36"/>
      <c r="AJ25" s="36"/>
      <c r="AK25" s="36"/>
      <c r="AL25" s="36"/>
      <c r="AM25" s="36"/>
      <c r="AN25" s="36"/>
      <c r="AO25" s="36"/>
      <c r="AP25" s="36"/>
      <c r="AQ25" s="36"/>
      <c r="AR25" s="36"/>
      <c r="AS25" s="36"/>
      <c r="AT25" s="36"/>
      <c r="AU25" s="36"/>
      <c r="AV25" s="36"/>
      <c r="AW25" s="40"/>
      <c r="AX25" s="36"/>
      <c r="AY25" s="36"/>
      <c r="AZ25" s="36"/>
      <c r="BA25" s="6">
        <f t="shared" si="31"/>
        <v>0</v>
      </c>
      <c r="BB25" s="36"/>
      <c r="BC25" s="36"/>
      <c r="BD25" s="36"/>
      <c r="BE25" s="6">
        <f t="shared" si="32"/>
        <v>0</v>
      </c>
      <c r="BF25" s="36"/>
      <c r="BG25" s="36"/>
      <c r="BH25" s="36"/>
      <c r="BI25" s="6">
        <f t="shared" si="33"/>
        <v>0</v>
      </c>
      <c r="BJ25" s="36"/>
      <c r="BK25" s="36"/>
      <c r="BL25" s="36">
        <f t="shared" si="36"/>
        <v>0</v>
      </c>
      <c r="BM25" s="14">
        <f t="shared" si="34"/>
        <v>0</v>
      </c>
      <c r="BN25" s="33"/>
      <c r="BO25" s="35"/>
      <c r="BP25" s="30"/>
      <c r="BQ25" s="36"/>
      <c r="BR25" s="36"/>
      <c r="BS25" s="36"/>
      <c r="BT25" s="36"/>
      <c r="BU25" s="36"/>
      <c r="BV25" s="36"/>
      <c r="BW25" s="36"/>
      <c r="BX25" s="36"/>
      <c r="BY25" s="36"/>
      <c r="BZ25" s="36"/>
      <c r="CA25" s="36"/>
      <c r="CB25" s="36"/>
      <c r="CC25" s="36"/>
      <c r="CD25" s="36"/>
      <c r="CE25" s="36"/>
      <c r="CF25" s="36"/>
      <c r="CG25" s="31"/>
      <c r="CH25" s="36"/>
      <c r="CI25" s="36"/>
      <c r="CJ25" s="36"/>
      <c r="CK25" s="36"/>
      <c r="CL25" s="36"/>
      <c r="CM25" s="36"/>
      <c r="CN25" s="36"/>
      <c r="CO25" s="36"/>
      <c r="CP25" s="36"/>
      <c r="CQ25" s="36"/>
      <c r="CR25" s="36"/>
      <c r="CS25" s="36"/>
      <c r="CT25" s="36"/>
      <c r="CU25" s="36"/>
      <c r="CV25" s="36"/>
      <c r="CW25" s="36"/>
      <c r="CX25" s="36"/>
      <c r="CY25" s="32"/>
      <c r="CZ25" s="36"/>
      <c r="DA25" s="36"/>
      <c r="DB25" s="36"/>
      <c r="DC25" s="36"/>
      <c r="DD25" s="36"/>
      <c r="DE25" s="36"/>
      <c r="DF25" s="36"/>
      <c r="DG25" s="36"/>
      <c r="DH25" s="36"/>
      <c r="DI25" s="36"/>
      <c r="DJ25" s="36"/>
      <c r="DK25" s="36"/>
      <c r="DL25" s="36"/>
      <c r="DM25" s="36"/>
      <c r="DN25" s="36"/>
      <c r="DO25" s="33"/>
      <c r="DP25" s="33"/>
      <c r="DQ25" s="34"/>
      <c r="DR25" s="30"/>
      <c r="DS25" s="36"/>
      <c r="DT25" s="36"/>
      <c r="DU25" s="36"/>
      <c r="DV25" s="36"/>
      <c r="DW25" s="36"/>
      <c r="DX25" s="36"/>
      <c r="DY25" s="36"/>
      <c r="DZ25" s="36"/>
      <c r="EA25" s="36"/>
      <c r="EB25" s="36"/>
      <c r="EC25" s="36"/>
      <c r="ED25" s="36"/>
      <c r="EE25" s="36"/>
      <c r="EF25" s="36"/>
      <c r="EG25" s="36"/>
      <c r="EH25" s="36"/>
      <c r="EI25" s="31"/>
      <c r="EJ25" s="36"/>
      <c r="EK25" s="36"/>
      <c r="EL25" s="36"/>
      <c r="EM25" s="36"/>
      <c r="EN25" s="36"/>
      <c r="EO25" s="36"/>
      <c r="EP25" s="36"/>
      <c r="EQ25" s="36"/>
      <c r="ER25" s="36"/>
      <c r="ES25" s="36"/>
      <c r="ET25" s="36"/>
      <c r="EU25" s="36"/>
      <c r="EV25" s="36"/>
      <c r="EW25" s="36"/>
      <c r="EX25" s="36"/>
      <c r="EY25" s="36"/>
      <c r="EZ25" s="36"/>
      <c r="FA25" s="32"/>
      <c r="FB25" s="36"/>
      <c r="FC25" s="36"/>
      <c r="FD25" s="36"/>
      <c r="FE25" s="36"/>
      <c r="FF25" s="36"/>
      <c r="FG25" s="36"/>
      <c r="FH25" s="36"/>
      <c r="FI25" s="36"/>
      <c r="FJ25" s="36"/>
      <c r="FK25" s="36"/>
      <c r="FL25" s="36"/>
      <c r="FM25" s="36"/>
      <c r="FN25" s="36"/>
      <c r="FO25" s="36"/>
      <c r="FP25" s="36"/>
      <c r="FQ25" s="33"/>
      <c r="FR25" s="33"/>
      <c r="FS25" s="34"/>
      <c r="FT25" s="30"/>
      <c r="FU25" s="36"/>
      <c r="FV25" s="36"/>
      <c r="FW25" s="36"/>
      <c r="FX25" s="36"/>
      <c r="FY25" s="36"/>
      <c r="FZ25" s="36"/>
      <c r="GA25" s="36"/>
      <c r="GB25" s="36"/>
      <c r="GC25" s="36"/>
      <c r="GD25" s="36"/>
      <c r="GE25" s="36"/>
      <c r="GF25" s="36"/>
      <c r="GG25" s="36"/>
      <c r="GH25" s="36"/>
      <c r="GI25" s="36"/>
      <c r="GJ25" s="36"/>
      <c r="GK25" s="31"/>
      <c r="GL25" s="36"/>
      <c r="GM25" s="36"/>
      <c r="GN25" s="36"/>
      <c r="GO25" s="36"/>
      <c r="GP25" s="36"/>
      <c r="GQ25" s="36"/>
      <c r="GR25" s="36"/>
      <c r="GS25" s="36"/>
      <c r="GT25" s="36"/>
      <c r="GU25" s="36"/>
      <c r="GV25" s="36"/>
      <c r="GW25" s="36"/>
      <c r="GX25" s="36"/>
      <c r="GY25" s="36"/>
      <c r="GZ25" s="36"/>
      <c r="HA25" s="36"/>
      <c r="HB25" s="36"/>
      <c r="HC25" s="32"/>
      <c r="HD25" s="36"/>
      <c r="HE25" s="36"/>
      <c r="HF25" s="36"/>
      <c r="HG25" s="36"/>
      <c r="HH25" s="36"/>
      <c r="HI25" s="36"/>
      <c r="HJ25" s="36"/>
      <c r="HK25" s="36"/>
      <c r="HL25" s="36"/>
      <c r="HM25" s="36"/>
      <c r="HN25" s="36"/>
      <c r="HO25" s="36"/>
      <c r="HP25" s="36"/>
      <c r="HQ25" s="36"/>
      <c r="HR25" s="36"/>
      <c r="HS25" s="33"/>
      <c r="HT25" s="33"/>
      <c r="HU25" s="35"/>
      <c r="HV25" s="36"/>
      <c r="HW25" s="36"/>
    </row>
    <row r="26" spans="1:231">
      <c r="A26" s="36"/>
      <c r="B26" s="30"/>
      <c r="C26" s="36"/>
      <c r="D26" s="37"/>
      <c r="E26" s="36"/>
      <c r="F26" s="36"/>
      <c r="G26" s="36"/>
      <c r="H26" s="36"/>
      <c r="I26" s="36"/>
      <c r="J26" s="36"/>
      <c r="K26" s="36"/>
      <c r="L26" s="36"/>
      <c r="M26" s="36"/>
      <c r="N26" s="30"/>
      <c r="O26" s="52"/>
      <c r="P26" s="28"/>
      <c r="Q26" s="28"/>
      <c r="R26" s="36"/>
      <c r="S26" s="2"/>
      <c r="T26" s="36"/>
      <c r="U26" s="36"/>
      <c r="V26" s="36"/>
      <c r="W26" s="36"/>
      <c r="X26" s="36"/>
      <c r="Y26" s="36"/>
      <c r="Z26" s="36"/>
      <c r="AA26" s="36"/>
      <c r="AB26" s="36"/>
      <c r="AC26" s="36"/>
      <c r="AD26" s="36"/>
      <c r="AE26" s="12">
        <f t="shared" si="30"/>
        <v>0</v>
      </c>
      <c r="AF26" s="36"/>
      <c r="AG26" s="36"/>
      <c r="AH26" s="36"/>
      <c r="AI26" s="36"/>
      <c r="AJ26" s="36"/>
      <c r="AK26" s="36"/>
      <c r="AL26" s="36"/>
      <c r="AM26" s="36"/>
      <c r="AN26" s="36"/>
      <c r="AO26" s="36"/>
      <c r="AP26" s="36"/>
      <c r="AQ26" s="36"/>
      <c r="AR26" s="36"/>
      <c r="AS26" s="36"/>
      <c r="AT26" s="36"/>
      <c r="AU26" s="36"/>
      <c r="AV26" s="36"/>
      <c r="AW26" s="40"/>
      <c r="AX26" s="36"/>
      <c r="AY26" s="36"/>
      <c r="AZ26" s="36"/>
      <c r="BA26" s="6">
        <f t="shared" si="31"/>
        <v>0</v>
      </c>
      <c r="BB26" s="36"/>
      <c r="BC26" s="36"/>
      <c r="BD26" s="36"/>
      <c r="BE26" s="36"/>
      <c r="BF26" s="36"/>
      <c r="BG26" s="36"/>
      <c r="BH26" s="36"/>
      <c r="BI26" s="6">
        <f t="shared" si="33"/>
        <v>0</v>
      </c>
      <c r="BJ26" s="36"/>
      <c r="BK26" s="36"/>
      <c r="BL26" s="36">
        <f t="shared" si="36"/>
        <v>0</v>
      </c>
      <c r="BM26" s="14">
        <f t="shared" si="34"/>
        <v>0</v>
      </c>
      <c r="BN26" s="33"/>
      <c r="BO26" s="34"/>
      <c r="BP26" s="30"/>
      <c r="BQ26" s="36"/>
      <c r="BR26" s="36"/>
      <c r="BS26" s="36"/>
      <c r="BT26" s="36"/>
      <c r="BU26" s="36"/>
      <c r="BV26" s="36"/>
      <c r="BW26" s="36"/>
      <c r="BX26" s="36"/>
      <c r="BY26" s="36"/>
      <c r="BZ26" s="36"/>
      <c r="CA26" s="36"/>
      <c r="CB26" s="36"/>
      <c r="CC26" s="36"/>
      <c r="CD26" s="36"/>
      <c r="CE26" s="36"/>
      <c r="CF26" s="36"/>
      <c r="CG26" s="31"/>
      <c r="CH26" s="36"/>
      <c r="CI26" s="36"/>
      <c r="CJ26" s="36"/>
      <c r="CK26" s="36"/>
      <c r="CL26" s="36"/>
      <c r="CM26" s="36"/>
      <c r="CN26" s="36"/>
      <c r="CO26" s="36"/>
      <c r="CP26" s="36"/>
      <c r="CQ26" s="36"/>
      <c r="CR26" s="36"/>
      <c r="CS26" s="36"/>
      <c r="CT26" s="36"/>
      <c r="CU26" s="36"/>
      <c r="CV26" s="36"/>
      <c r="CW26" s="36"/>
      <c r="CX26" s="36"/>
      <c r="CY26" s="32"/>
      <c r="CZ26" s="36"/>
      <c r="DA26" s="36"/>
      <c r="DB26" s="36"/>
      <c r="DC26" s="36"/>
      <c r="DD26" s="36"/>
      <c r="DE26" s="36"/>
      <c r="DF26" s="36"/>
      <c r="DG26" s="36"/>
      <c r="DH26" s="36"/>
      <c r="DI26" s="36"/>
      <c r="DJ26" s="36"/>
      <c r="DK26" s="36"/>
      <c r="DL26" s="36"/>
      <c r="DM26" s="36"/>
      <c r="DN26" s="36"/>
      <c r="DO26" s="33"/>
      <c r="DP26" s="33"/>
      <c r="DQ26" s="34"/>
      <c r="DR26" s="30"/>
      <c r="DS26" s="36"/>
      <c r="DT26" s="36"/>
      <c r="DU26" s="36"/>
      <c r="DV26" s="36"/>
      <c r="DW26" s="36"/>
      <c r="DX26" s="36"/>
      <c r="DY26" s="36"/>
      <c r="DZ26" s="36"/>
      <c r="EA26" s="36"/>
      <c r="EB26" s="36"/>
      <c r="EC26" s="36"/>
      <c r="ED26" s="36"/>
      <c r="EE26" s="36"/>
      <c r="EF26" s="36"/>
      <c r="EG26" s="36"/>
      <c r="EH26" s="36"/>
      <c r="EI26" s="31"/>
      <c r="EJ26" s="36"/>
      <c r="EK26" s="36"/>
      <c r="EL26" s="36"/>
      <c r="EM26" s="36"/>
      <c r="EN26" s="36"/>
      <c r="EO26" s="36"/>
      <c r="EP26" s="36"/>
      <c r="EQ26" s="36"/>
      <c r="ER26" s="36"/>
      <c r="ES26" s="36"/>
      <c r="ET26" s="36"/>
      <c r="EU26" s="36"/>
      <c r="EV26" s="36"/>
      <c r="EW26" s="36"/>
      <c r="EX26" s="36"/>
      <c r="EY26" s="36"/>
      <c r="EZ26" s="36"/>
      <c r="FA26" s="32"/>
      <c r="FB26" s="36"/>
      <c r="FC26" s="36"/>
      <c r="FD26" s="36"/>
      <c r="FE26" s="36"/>
      <c r="FF26" s="36"/>
      <c r="FG26" s="36"/>
      <c r="FH26" s="36"/>
      <c r="FI26" s="36"/>
      <c r="FJ26" s="36"/>
      <c r="FK26" s="36"/>
      <c r="FL26" s="36"/>
      <c r="FM26" s="36"/>
      <c r="FN26" s="36"/>
      <c r="FO26" s="36"/>
      <c r="FP26" s="36"/>
      <c r="FQ26" s="33"/>
      <c r="FR26" s="33"/>
      <c r="FS26" s="34"/>
      <c r="FT26" s="30"/>
      <c r="FU26" s="36"/>
      <c r="FV26" s="36"/>
      <c r="FW26" s="36"/>
      <c r="FX26" s="36"/>
      <c r="FY26" s="36"/>
      <c r="FZ26" s="36"/>
      <c r="GA26" s="36"/>
      <c r="GB26" s="36"/>
      <c r="GC26" s="36"/>
      <c r="GD26" s="36"/>
      <c r="GE26" s="36"/>
      <c r="GF26" s="36"/>
      <c r="GG26" s="36"/>
      <c r="GH26" s="36"/>
      <c r="GI26" s="36"/>
      <c r="GJ26" s="36"/>
      <c r="GK26" s="31"/>
      <c r="GL26" s="36"/>
      <c r="GM26" s="36"/>
      <c r="GN26" s="36"/>
      <c r="GO26" s="36"/>
      <c r="GP26" s="36"/>
      <c r="GQ26" s="36"/>
      <c r="GR26" s="36"/>
      <c r="GS26" s="36"/>
      <c r="GT26" s="36"/>
      <c r="GU26" s="36"/>
      <c r="GV26" s="36"/>
      <c r="GW26" s="36"/>
      <c r="GX26" s="36"/>
      <c r="GY26" s="36"/>
      <c r="GZ26" s="36"/>
      <c r="HA26" s="36"/>
      <c r="HB26" s="36"/>
      <c r="HC26" s="32"/>
      <c r="HD26" s="36"/>
      <c r="HE26" s="36"/>
      <c r="HF26" s="36"/>
      <c r="HG26" s="36"/>
      <c r="HH26" s="36"/>
      <c r="HI26" s="36"/>
      <c r="HJ26" s="36"/>
      <c r="HK26" s="36"/>
      <c r="HL26" s="36"/>
      <c r="HM26" s="36"/>
      <c r="HN26" s="36"/>
      <c r="HO26" s="36"/>
      <c r="HP26" s="36"/>
      <c r="HQ26" s="36"/>
      <c r="HR26" s="36"/>
      <c r="HS26" s="33"/>
      <c r="HT26" s="33"/>
      <c r="HU26" s="35"/>
      <c r="HV26" s="36"/>
      <c r="HW26" s="36"/>
    </row>
    <row r="27" spans="1:231">
      <c r="A27" s="36"/>
      <c r="B27" s="30"/>
      <c r="C27" s="36"/>
      <c r="D27" s="37"/>
      <c r="E27" s="36"/>
      <c r="F27" s="36"/>
      <c r="G27" s="36"/>
      <c r="H27" s="36"/>
      <c r="I27" s="36"/>
      <c r="J27" s="36"/>
      <c r="K27" s="36"/>
      <c r="L27" s="36"/>
      <c r="M27" s="36"/>
      <c r="N27" s="30"/>
      <c r="O27" s="52"/>
      <c r="P27" s="28"/>
      <c r="Q27" s="28"/>
      <c r="R27" s="36"/>
      <c r="S27" s="2"/>
      <c r="T27" s="36"/>
      <c r="U27" s="36"/>
      <c r="V27" s="36"/>
      <c r="W27" s="36"/>
      <c r="X27" s="36"/>
      <c r="Y27" s="36"/>
      <c r="Z27" s="36"/>
      <c r="AA27" s="36"/>
      <c r="AB27" s="36"/>
      <c r="AC27" s="36"/>
      <c r="AD27" s="36"/>
      <c r="AE27" s="12">
        <f t="shared" si="30"/>
        <v>0</v>
      </c>
      <c r="AF27" s="36"/>
      <c r="AG27" s="36"/>
      <c r="AH27" s="36"/>
      <c r="AI27" s="36"/>
      <c r="AJ27" s="36"/>
      <c r="AK27" s="36"/>
      <c r="AL27" s="36"/>
      <c r="AM27" s="36"/>
      <c r="AN27" s="36"/>
      <c r="AO27" s="36"/>
      <c r="AP27" s="36"/>
      <c r="AQ27" s="36"/>
      <c r="AR27" s="36"/>
      <c r="AS27" s="36"/>
      <c r="AT27" s="36"/>
      <c r="AU27" s="36"/>
      <c r="AV27" s="36"/>
      <c r="AW27" s="40"/>
      <c r="AX27" s="36"/>
      <c r="AY27" s="36"/>
      <c r="AZ27" s="36"/>
      <c r="BA27" s="6">
        <f t="shared" si="31"/>
        <v>0</v>
      </c>
      <c r="BB27" s="36"/>
      <c r="BC27" s="36"/>
      <c r="BD27" s="36"/>
      <c r="BE27" s="36"/>
      <c r="BF27" s="36"/>
      <c r="BG27" s="36"/>
      <c r="BH27" s="36"/>
      <c r="BI27" s="6">
        <f t="shared" si="33"/>
        <v>0</v>
      </c>
      <c r="BJ27" s="36"/>
      <c r="BK27" s="36"/>
      <c r="BL27" s="36">
        <f t="shared" si="36"/>
        <v>0</v>
      </c>
      <c r="BM27" s="14">
        <f t="shared" si="34"/>
        <v>0</v>
      </c>
      <c r="BN27" s="33"/>
      <c r="BO27" s="35"/>
      <c r="BP27" s="30"/>
      <c r="BQ27" s="36"/>
      <c r="BR27" s="36"/>
      <c r="BS27" s="36"/>
      <c r="BT27" s="36"/>
      <c r="BU27" s="36"/>
      <c r="BV27" s="36"/>
      <c r="BW27" s="36"/>
      <c r="BX27" s="36"/>
      <c r="BY27" s="36"/>
      <c r="BZ27" s="36"/>
      <c r="CA27" s="36"/>
      <c r="CB27" s="36"/>
      <c r="CC27" s="36"/>
      <c r="CD27" s="36"/>
      <c r="CE27" s="36"/>
      <c r="CF27" s="36"/>
      <c r="CG27" s="31"/>
      <c r="CH27" s="36"/>
      <c r="CI27" s="36"/>
      <c r="CJ27" s="36"/>
      <c r="CK27" s="36"/>
      <c r="CL27" s="36"/>
      <c r="CM27" s="36"/>
      <c r="CN27" s="36"/>
      <c r="CO27" s="36"/>
      <c r="CP27" s="36"/>
      <c r="CQ27" s="36"/>
      <c r="CR27" s="36"/>
      <c r="CS27" s="36"/>
      <c r="CT27" s="36"/>
      <c r="CU27" s="36"/>
      <c r="CV27" s="36"/>
      <c r="CW27" s="36"/>
      <c r="CX27" s="36"/>
      <c r="CY27" s="32"/>
      <c r="CZ27" s="36"/>
      <c r="DA27" s="36"/>
      <c r="DB27" s="36"/>
      <c r="DC27" s="36"/>
      <c r="DD27" s="36"/>
      <c r="DE27" s="36"/>
      <c r="DF27" s="36"/>
      <c r="DG27" s="36"/>
      <c r="DH27" s="36"/>
      <c r="DI27" s="36"/>
      <c r="DJ27" s="36"/>
      <c r="DK27" s="36"/>
      <c r="DL27" s="36"/>
      <c r="DM27" s="36"/>
      <c r="DN27" s="36"/>
      <c r="DO27" s="33"/>
      <c r="DP27" s="33"/>
      <c r="DQ27" s="34"/>
      <c r="DR27" s="30"/>
      <c r="DS27" s="36"/>
      <c r="DT27" s="36"/>
      <c r="DU27" s="36"/>
      <c r="DV27" s="36"/>
      <c r="DW27" s="36"/>
      <c r="DX27" s="36"/>
      <c r="DY27" s="36"/>
      <c r="DZ27" s="36"/>
      <c r="EA27" s="36"/>
      <c r="EB27" s="36"/>
      <c r="EC27" s="36"/>
      <c r="ED27" s="36"/>
      <c r="EE27" s="36"/>
      <c r="EF27" s="36"/>
      <c r="EG27" s="36"/>
      <c r="EH27" s="36"/>
      <c r="EI27" s="31"/>
      <c r="EJ27" s="36"/>
      <c r="EK27" s="36"/>
      <c r="EL27" s="36"/>
      <c r="EM27" s="36"/>
      <c r="EN27" s="36"/>
      <c r="EO27" s="36"/>
      <c r="EP27" s="36"/>
      <c r="EQ27" s="36"/>
      <c r="ER27" s="36"/>
      <c r="ES27" s="36"/>
      <c r="ET27" s="36"/>
      <c r="EU27" s="36"/>
      <c r="EV27" s="36"/>
      <c r="EW27" s="36"/>
      <c r="EX27" s="36"/>
      <c r="EY27" s="36"/>
      <c r="EZ27" s="36"/>
      <c r="FA27" s="32"/>
      <c r="FB27" s="36"/>
      <c r="FC27" s="36"/>
      <c r="FD27" s="36"/>
      <c r="FE27" s="36"/>
      <c r="FF27" s="36"/>
      <c r="FG27" s="36"/>
      <c r="FH27" s="36"/>
      <c r="FI27" s="36"/>
      <c r="FJ27" s="36"/>
      <c r="FK27" s="36"/>
      <c r="FL27" s="36"/>
      <c r="FM27" s="36"/>
      <c r="FN27" s="36"/>
      <c r="FO27" s="36"/>
      <c r="FP27" s="36"/>
      <c r="FQ27" s="33"/>
      <c r="FR27" s="33"/>
      <c r="FS27" s="34"/>
      <c r="FT27" s="30"/>
      <c r="FU27" s="36"/>
      <c r="FV27" s="36"/>
      <c r="FW27" s="36"/>
      <c r="FX27" s="36"/>
      <c r="FY27" s="36"/>
      <c r="FZ27" s="36"/>
      <c r="GA27" s="36"/>
      <c r="GB27" s="36"/>
      <c r="GC27" s="36"/>
      <c r="GD27" s="36"/>
      <c r="GE27" s="36"/>
      <c r="GF27" s="36"/>
      <c r="GG27" s="36"/>
      <c r="GH27" s="36"/>
      <c r="GI27" s="36"/>
      <c r="GJ27" s="36"/>
      <c r="GK27" s="31"/>
      <c r="GL27" s="36"/>
      <c r="GM27" s="36"/>
      <c r="GN27" s="36"/>
      <c r="GO27" s="36"/>
      <c r="GP27" s="36"/>
      <c r="GQ27" s="36"/>
      <c r="GR27" s="36"/>
      <c r="GS27" s="36"/>
      <c r="GT27" s="36"/>
      <c r="GU27" s="36"/>
      <c r="GV27" s="36"/>
      <c r="GW27" s="36"/>
      <c r="GX27" s="36"/>
      <c r="GY27" s="36"/>
      <c r="GZ27" s="36"/>
      <c r="HA27" s="36"/>
      <c r="HB27" s="36"/>
      <c r="HC27" s="32"/>
      <c r="HD27" s="36"/>
      <c r="HE27" s="36"/>
      <c r="HF27" s="36"/>
      <c r="HG27" s="36"/>
      <c r="HH27" s="36"/>
      <c r="HI27" s="36"/>
      <c r="HJ27" s="36"/>
      <c r="HK27" s="36"/>
      <c r="HL27" s="36"/>
      <c r="HM27" s="36"/>
      <c r="HN27" s="36"/>
      <c r="HO27" s="36"/>
      <c r="HP27" s="36"/>
      <c r="HQ27" s="36"/>
      <c r="HR27" s="36"/>
      <c r="HS27" s="33"/>
      <c r="HT27" s="33"/>
      <c r="HU27" s="35"/>
      <c r="HV27" s="36"/>
      <c r="HW27" s="36"/>
    </row>
    <row r="28" spans="1:231">
      <c r="A28" s="36"/>
      <c r="B28" s="30"/>
      <c r="C28" s="36"/>
      <c r="D28" s="37"/>
      <c r="E28" s="36"/>
      <c r="F28" s="36"/>
      <c r="G28" s="36"/>
      <c r="H28" s="36"/>
      <c r="I28" s="36"/>
      <c r="J28" s="36"/>
      <c r="K28" s="36"/>
      <c r="L28" s="36"/>
      <c r="M28" s="36"/>
      <c r="N28" s="30"/>
      <c r="O28" s="52"/>
      <c r="P28" s="54"/>
      <c r="Q28" s="36"/>
      <c r="R28" s="36"/>
      <c r="S28" s="2"/>
      <c r="T28" s="36"/>
      <c r="U28" s="36"/>
      <c r="V28" s="36"/>
      <c r="W28" s="36"/>
      <c r="X28" s="36"/>
      <c r="Y28" s="36"/>
      <c r="Z28" s="36"/>
      <c r="AA28" s="36"/>
      <c r="AB28" s="36"/>
      <c r="AC28" s="36"/>
      <c r="AD28" s="36"/>
      <c r="AE28" s="39"/>
      <c r="AF28" s="36"/>
      <c r="AG28" s="36"/>
      <c r="AH28" s="36"/>
      <c r="AI28" s="36"/>
      <c r="AJ28" s="36"/>
      <c r="AK28" s="36"/>
      <c r="AL28" s="36"/>
      <c r="AM28" s="36"/>
      <c r="AN28" s="36"/>
      <c r="AO28" s="36"/>
      <c r="AP28" s="36"/>
      <c r="AQ28" s="36"/>
      <c r="AR28" s="36"/>
      <c r="AS28" s="36"/>
      <c r="AT28" s="36"/>
      <c r="AU28" s="36"/>
      <c r="AV28" s="36"/>
      <c r="AW28" s="40"/>
      <c r="AX28" s="36"/>
      <c r="AY28" s="36"/>
      <c r="AZ28" s="36"/>
      <c r="BA28" s="6">
        <f t="shared" si="31"/>
        <v>0</v>
      </c>
      <c r="BB28" s="36"/>
      <c r="BC28" s="36"/>
      <c r="BD28" s="36"/>
      <c r="BE28" s="36"/>
      <c r="BF28" s="36"/>
      <c r="BG28" s="36"/>
      <c r="BH28" s="36"/>
      <c r="BI28" s="6">
        <f t="shared" si="33"/>
        <v>0</v>
      </c>
      <c r="BJ28" s="36"/>
      <c r="BK28" s="36"/>
      <c r="BL28" s="36">
        <f t="shared" si="36"/>
        <v>0</v>
      </c>
      <c r="BM28" s="14">
        <f t="shared" si="34"/>
        <v>0</v>
      </c>
      <c r="BN28" s="33"/>
      <c r="BO28" s="34"/>
      <c r="BP28" s="30"/>
      <c r="BQ28" s="36"/>
      <c r="BR28" s="36"/>
      <c r="BS28" s="36"/>
      <c r="BT28" s="36"/>
      <c r="BU28" s="36"/>
      <c r="BV28" s="36"/>
      <c r="BW28" s="36"/>
      <c r="BX28" s="36"/>
      <c r="BY28" s="36"/>
      <c r="BZ28" s="36"/>
      <c r="CA28" s="36"/>
      <c r="CB28" s="36"/>
      <c r="CC28" s="36"/>
      <c r="CD28" s="36"/>
      <c r="CE28" s="36"/>
      <c r="CF28" s="36"/>
      <c r="CG28" s="31"/>
      <c r="CH28" s="36"/>
      <c r="CI28" s="36"/>
      <c r="CJ28" s="36"/>
      <c r="CK28" s="36"/>
      <c r="CL28" s="36"/>
      <c r="CM28" s="36"/>
      <c r="CN28" s="36"/>
      <c r="CO28" s="36"/>
      <c r="CP28" s="36"/>
      <c r="CQ28" s="36"/>
      <c r="CR28" s="36"/>
      <c r="CS28" s="36"/>
      <c r="CT28" s="36"/>
      <c r="CU28" s="36"/>
      <c r="CV28" s="36"/>
      <c r="CW28" s="36"/>
      <c r="CX28" s="36"/>
      <c r="CY28" s="32"/>
      <c r="CZ28" s="36"/>
      <c r="DA28" s="36"/>
      <c r="DB28" s="36"/>
      <c r="DC28" s="36"/>
      <c r="DD28" s="36"/>
      <c r="DE28" s="36"/>
      <c r="DF28" s="36"/>
      <c r="DG28" s="36"/>
      <c r="DH28" s="36"/>
      <c r="DI28" s="36"/>
      <c r="DJ28" s="36"/>
      <c r="DK28" s="36"/>
      <c r="DL28" s="36"/>
      <c r="DM28" s="36"/>
      <c r="DN28" s="36"/>
      <c r="DO28" s="33"/>
      <c r="DP28" s="33"/>
      <c r="DQ28" s="34"/>
      <c r="DR28" s="30"/>
      <c r="DS28" s="36"/>
      <c r="DT28" s="36"/>
      <c r="DU28" s="36"/>
      <c r="DV28" s="36"/>
      <c r="DW28" s="36"/>
      <c r="DX28" s="36"/>
      <c r="DY28" s="36"/>
      <c r="DZ28" s="36"/>
      <c r="EA28" s="36"/>
      <c r="EB28" s="36"/>
      <c r="EC28" s="36"/>
      <c r="ED28" s="36"/>
      <c r="EE28" s="36"/>
      <c r="EF28" s="36"/>
      <c r="EG28" s="36"/>
      <c r="EH28" s="36"/>
      <c r="EI28" s="31"/>
      <c r="EJ28" s="36"/>
      <c r="EK28" s="36"/>
      <c r="EL28" s="36"/>
      <c r="EM28" s="36"/>
      <c r="EN28" s="36"/>
      <c r="EO28" s="36"/>
      <c r="EP28" s="36"/>
      <c r="EQ28" s="36"/>
      <c r="ER28" s="36"/>
      <c r="ES28" s="36"/>
      <c r="ET28" s="36"/>
      <c r="EU28" s="36"/>
      <c r="EV28" s="36"/>
      <c r="EW28" s="36"/>
      <c r="EX28" s="36"/>
      <c r="EY28" s="36"/>
      <c r="EZ28" s="36"/>
      <c r="FA28" s="32"/>
      <c r="FB28" s="36"/>
      <c r="FC28" s="36"/>
      <c r="FD28" s="36"/>
      <c r="FE28" s="36"/>
      <c r="FF28" s="36"/>
      <c r="FG28" s="36"/>
      <c r="FH28" s="36"/>
      <c r="FI28" s="36"/>
      <c r="FJ28" s="36"/>
      <c r="FK28" s="36"/>
      <c r="FL28" s="36"/>
      <c r="FM28" s="36"/>
      <c r="FN28" s="36"/>
      <c r="FO28" s="36"/>
      <c r="FP28" s="36"/>
      <c r="FQ28" s="33"/>
      <c r="FR28" s="33"/>
      <c r="FS28" s="34"/>
      <c r="FT28" s="30"/>
      <c r="FU28" s="36"/>
      <c r="FV28" s="36"/>
      <c r="FW28" s="36"/>
      <c r="FX28" s="36"/>
      <c r="FY28" s="36"/>
      <c r="FZ28" s="36"/>
      <c r="GA28" s="36"/>
      <c r="GB28" s="36"/>
      <c r="GC28" s="36"/>
      <c r="GD28" s="36"/>
      <c r="GE28" s="36"/>
      <c r="GF28" s="36"/>
      <c r="GG28" s="36"/>
      <c r="GH28" s="36"/>
      <c r="GI28" s="36"/>
      <c r="GJ28" s="36"/>
      <c r="GK28" s="31"/>
      <c r="GL28" s="36"/>
      <c r="GM28" s="36"/>
      <c r="GN28" s="36"/>
      <c r="GO28" s="36"/>
      <c r="GP28" s="36"/>
      <c r="GQ28" s="36"/>
      <c r="GR28" s="36"/>
      <c r="GS28" s="36"/>
      <c r="GT28" s="36"/>
      <c r="GU28" s="36"/>
      <c r="GV28" s="36"/>
      <c r="GW28" s="36"/>
      <c r="GX28" s="36"/>
      <c r="GY28" s="36"/>
      <c r="GZ28" s="36"/>
      <c r="HA28" s="36"/>
      <c r="HB28" s="36"/>
      <c r="HC28" s="32"/>
      <c r="HD28" s="36"/>
      <c r="HE28" s="36"/>
      <c r="HF28" s="36"/>
      <c r="HG28" s="36"/>
      <c r="HH28" s="36"/>
      <c r="HI28" s="36"/>
      <c r="HJ28" s="36"/>
      <c r="HK28" s="36"/>
      <c r="HL28" s="36"/>
      <c r="HM28" s="36"/>
      <c r="HN28" s="36"/>
      <c r="HO28" s="36"/>
      <c r="HP28" s="36"/>
      <c r="HQ28" s="36"/>
      <c r="HR28" s="36"/>
      <c r="HS28" s="33"/>
      <c r="HT28" s="33"/>
      <c r="HU28" s="35"/>
      <c r="HV28" s="36"/>
      <c r="HW28" s="36"/>
    </row>
    <row r="29" spans="1:231">
      <c r="A29" s="36"/>
      <c r="B29" s="30"/>
      <c r="C29" s="36"/>
      <c r="D29" s="37"/>
      <c r="E29" s="36"/>
      <c r="F29" s="36"/>
      <c r="G29" s="36"/>
      <c r="H29" s="36"/>
      <c r="I29" s="36"/>
      <c r="J29" s="36"/>
      <c r="K29" s="36"/>
      <c r="L29" s="36"/>
      <c r="M29" s="36"/>
      <c r="N29" s="30"/>
      <c r="O29" s="52"/>
      <c r="P29" s="36"/>
      <c r="Q29" s="36"/>
      <c r="R29" s="36"/>
      <c r="S29" s="2"/>
      <c r="T29" s="36"/>
      <c r="U29" s="36"/>
      <c r="V29" s="36"/>
      <c r="W29" s="36"/>
      <c r="X29" s="36"/>
      <c r="Y29" s="36"/>
      <c r="Z29" s="36"/>
      <c r="AA29" s="36"/>
      <c r="AB29" s="36"/>
      <c r="AC29" s="36"/>
      <c r="AD29" s="36"/>
      <c r="AE29" s="39"/>
      <c r="AF29" s="36"/>
      <c r="AG29" s="36"/>
      <c r="AH29" s="36"/>
      <c r="AI29" s="36"/>
      <c r="AJ29" s="36"/>
      <c r="AK29" s="36"/>
      <c r="AL29" s="36"/>
      <c r="AM29" s="36"/>
      <c r="AN29" s="36"/>
      <c r="AO29" s="36"/>
      <c r="AP29" s="36"/>
      <c r="AQ29" s="36"/>
      <c r="AR29" s="36"/>
      <c r="AS29" s="36"/>
      <c r="AT29" s="36"/>
      <c r="AU29" s="36"/>
      <c r="AV29" s="36"/>
      <c r="AW29" s="40"/>
      <c r="AX29" s="36"/>
      <c r="AY29" s="36"/>
      <c r="AZ29" s="36"/>
      <c r="BA29" s="6">
        <f t="shared" si="31"/>
        <v>0</v>
      </c>
      <c r="BB29" s="36"/>
      <c r="BC29" s="36"/>
      <c r="BD29" s="36"/>
      <c r="BE29" s="36"/>
      <c r="BF29" s="36"/>
      <c r="BG29" s="36"/>
      <c r="BH29" s="36"/>
      <c r="BI29" s="6">
        <f t="shared" si="33"/>
        <v>0</v>
      </c>
      <c r="BJ29" s="36"/>
      <c r="BK29" s="36"/>
      <c r="BL29" s="36">
        <f t="shared" si="36"/>
        <v>0</v>
      </c>
      <c r="BM29" s="14">
        <f t="shared" si="34"/>
        <v>0</v>
      </c>
      <c r="BN29" s="33"/>
      <c r="BO29" s="34"/>
      <c r="BP29" s="30"/>
      <c r="BQ29" s="36"/>
      <c r="BR29" s="36"/>
      <c r="BS29" s="36"/>
      <c r="BT29" s="36"/>
      <c r="BU29" s="36"/>
      <c r="BV29" s="36"/>
      <c r="BW29" s="36"/>
      <c r="BX29" s="36"/>
      <c r="BY29" s="36"/>
      <c r="BZ29" s="36"/>
      <c r="CA29" s="36"/>
      <c r="CB29" s="36"/>
      <c r="CC29" s="36"/>
      <c r="CD29" s="36"/>
      <c r="CE29" s="36"/>
      <c r="CF29" s="36"/>
      <c r="CG29" s="31"/>
      <c r="CH29" s="36"/>
      <c r="CI29" s="36"/>
      <c r="CJ29" s="36"/>
      <c r="CK29" s="36"/>
      <c r="CL29" s="36"/>
      <c r="CM29" s="36"/>
      <c r="CN29" s="36"/>
      <c r="CO29" s="36"/>
      <c r="CP29" s="36"/>
      <c r="CQ29" s="36"/>
      <c r="CR29" s="36"/>
      <c r="CS29" s="36"/>
      <c r="CT29" s="36"/>
      <c r="CU29" s="36"/>
      <c r="CV29" s="36"/>
      <c r="CW29" s="36"/>
      <c r="CX29" s="36"/>
      <c r="CY29" s="32"/>
      <c r="CZ29" s="36"/>
      <c r="DA29" s="36"/>
      <c r="DB29" s="36"/>
      <c r="DC29" s="36"/>
      <c r="DD29" s="36"/>
      <c r="DE29" s="36"/>
      <c r="DF29" s="36"/>
      <c r="DG29" s="36"/>
      <c r="DH29" s="36"/>
      <c r="DI29" s="36"/>
      <c r="DJ29" s="36"/>
      <c r="DK29" s="36"/>
      <c r="DL29" s="36"/>
      <c r="DM29" s="36"/>
      <c r="DN29" s="36"/>
      <c r="DO29" s="33"/>
      <c r="DP29" s="33"/>
      <c r="DQ29" s="34"/>
      <c r="DR29" s="30"/>
      <c r="DS29" s="36"/>
      <c r="DT29" s="36"/>
      <c r="DU29" s="36"/>
      <c r="DV29" s="36"/>
      <c r="DW29" s="36"/>
      <c r="DX29" s="36"/>
      <c r="DY29" s="36"/>
      <c r="DZ29" s="36"/>
      <c r="EA29" s="36"/>
      <c r="EB29" s="36"/>
      <c r="EC29" s="36"/>
      <c r="ED29" s="36"/>
      <c r="EE29" s="36"/>
      <c r="EF29" s="36"/>
      <c r="EG29" s="36"/>
      <c r="EH29" s="36"/>
      <c r="EI29" s="31"/>
      <c r="EJ29" s="36"/>
      <c r="EK29" s="36"/>
      <c r="EL29" s="36"/>
      <c r="EM29" s="36"/>
      <c r="EN29" s="36"/>
      <c r="EO29" s="36"/>
      <c r="EP29" s="36"/>
      <c r="EQ29" s="36"/>
      <c r="ER29" s="36"/>
      <c r="ES29" s="36"/>
      <c r="ET29" s="36"/>
      <c r="EU29" s="36"/>
      <c r="EV29" s="36"/>
      <c r="EW29" s="36"/>
      <c r="EX29" s="36"/>
      <c r="EY29" s="36"/>
      <c r="EZ29" s="36"/>
      <c r="FA29" s="32"/>
      <c r="FB29" s="36"/>
      <c r="FC29" s="36"/>
      <c r="FD29" s="36"/>
      <c r="FE29" s="36"/>
      <c r="FF29" s="36"/>
      <c r="FG29" s="36"/>
      <c r="FH29" s="36"/>
      <c r="FI29" s="36"/>
      <c r="FJ29" s="36"/>
      <c r="FK29" s="36"/>
      <c r="FL29" s="36"/>
      <c r="FM29" s="36"/>
      <c r="FN29" s="36"/>
      <c r="FO29" s="36"/>
      <c r="FP29" s="36"/>
      <c r="FQ29" s="33"/>
      <c r="FR29" s="33"/>
      <c r="FS29" s="34"/>
      <c r="FT29" s="30"/>
      <c r="FU29" s="36"/>
      <c r="FV29" s="36"/>
      <c r="FW29" s="36"/>
      <c r="FX29" s="36"/>
      <c r="FY29" s="36"/>
      <c r="FZ29" s="36"/>
      <c r="GA29" s="36"/>
      <c r="GB29" s="36"/>
      <c r="GC29" s="36"/>
      <c r="GD29" s="36"/>
      <c r="GE29" s="36"/>
      <c r="GF29" s="36"/>
      <c r="GG29" s="36"/>
      <c r="GH29" s="36"/>
      <c r="GI29" s="36"/>
      <c r="GJ29" s="36"/>
      <c r="GK29" s="31"/>
      <c r="GL29" s="36"/>
      <c r="GM29" s="36"/>
      <c r="GN29" s="36"/>
      <c r="GO29" s="36"/>
      <c r="GP29" s="36"/>
      <c r="GQ29" s="36"/>
      <c r="GR29" s="36"/>
      <c r="GS29" s="36"/>
      <c r="GT29" s="36"/>
      <c r="GU29" s="36"/>
      <c r="GV29" s="36"/>
      <c r="GW29" s="36"/>
      <c r="GX29" s="36"/>
      <c r="GY29" s="36"/>
      <c r="GZ29" s="36"/>
      <c r="HA29" s="36"/>
      <c r="HB29" s="36"/>
      <c r="HC29" s="32"/>
      <c r="HD29" s="36"/>
      <c r="HE29" s="36"/>
      <c r="HF29" s="36"/>
      <c r="HG29" s="36"/>
      <c r="HH29" s="36"/>
      <c r="HI29" s="36"/>
      <c r="HJ29" s="36"/>
      <c r="HK29" s="36"/>
      <c r="HL29" s="36"/>
      <c r="HM29" s="36"/>
      <c r="HN29" s="36"/>
      <c r="HO29" s="36"/>
      <c r="HP29" s="36"/>
      <c r="HQ29" s="36"/>
      <c r="HR29" s="36"/>
      <c r="HS29" s="33"/>
      <c r="HT29" s="33"/>
      <c r="HU29" s="35"/>
      <c r="HV29" s="36"/>
      <c r="HW29" s="36"/>
    </row>
    <row r="30" spans="1:231">
      <c r="A30" s="36"/>
      <c r="B30" s="30"/>
      <c r="C30" s="2"/>
      <c r="D30" s="37"/>
      <c r="E30" s="36"/>
      <c r="F30" s="36"/>
      <c r="G30" s="36"/>
      <c r="H30" s="36"/>
      <c r="I30" s="36"/>
      <c r="J30" s="36"/>
      <c r="K30" s="2"/>
      <c r="L30" s="36"/>
      <c r="M30" s="36"/>
      <c r="N30" s="30"/>
      <c r="O30" s="52"/>
      <c r="P30" s="28"/>
      <c r="Q30" s="36"/>
      <c r="R30" s="36"/>
      <c r="S30" s="2"/>
      <c r="T30" s="36"/>
      <c r="U30" s="36"/>
      <c r="V30" s="36"/>
      <c r="W30" s="36"/>
      <c r="X30" s="36"/>
      <c r="Y30" s="36"/>
      <c r="Z30" s="36"/>
      <c r="AA30" s="36"/>
      <c r="AB30" s="36"/>
      <c r="AC30" s="36"/>
      <c r="AD30" s="36"/>
      <c r="AE30" s="39"/>
      <c r="AF30" s="36"/>
      <c r="AG30" s="36"/>
      <c r="AH30" s="36"/>
      <c r="AI30" s="36"/>
      <c r="AJ30" s="36"/>
      <c r="AK30" s="36"/>
      <c r="AL30" s="36"/>
      <c r="AM30" s="36"/>
      <c r="AN30" s="36"/>
      <c r="AO30" s="36"/>
      <c r="AP30" s="36"/>
      <c r="AQ30" s="36"/>
      <c r="AR30" s="36"/>
      <c r="AS30" s="36"/>
      <c r="AT30" s="36"/>
      <c r="AU30" s="36"/>
      <c r="AV30" s="36"/>
      <c r="AW30" s="40"/>
      <c r="AX30" s="36"/>
      <c r="AY30" s="36"/>
      <c r="AZ30" s="36"/>
      <c r="BA30" s="6">
        <f t="shared" si="31"/>
        <v>0</v>
      </c>
      <c r="BB30" s="36"/>
      <c r="BC30" s="36"/>
      <c r="BD30" s="36"/>
      <c r="BE30" s="36"/>
      <c r="BF30" s="36"/>
      <c r="BG30" s="36"/>
      <c r="BH30" s="36"/>
      <c r="BI30" s="6">
        <f t="shared" si="33"/>
        <v>0</v>
      </c>
      <c r="BJ30" s="36"/>
      <c r="BK30" s="36"/>
      <c r="BL30" s="36">
        <f t="shared" si="36"/>
        <v>0</v>
      </c>
      <c r="BM30" s="14">
        <f t="shared" si="34"/>
        <v>0</v>
      </c>
      <c r="BN30" s="33"/>
      <c r="BO30" s="34"/>
      <c r="BP30" s="30"/>
      <c r="BQ30" s="36"/>
      <c r="BR30" s="36"/>
      <c r="BS30" s="36"/>
      <c r="BT30" s="36"/>
      <c r="BU30" s="36"/>
      <c r="BV30" s="36"/>
      <c r="BW30" s="36"/>
      <c r="BX30" s="36"/>
      <c r="BY30" s="36"/>
      <c r="BZ30" s="36"/>
      <c r="CA30" s="36"/>
      <c r="CB30" s="36"/>
      <c r="CC30" s="36"/>
      <c r="CD30" s="36"/>
      <c r="CE30" s="36"/>
      <c r="CF30" s="36"/>
      <c r="CG30" s="31"/>
      <c r="CH30" s="36"/>
      <c r="CI30" s="36"/>
      <c r="CJ30" s="36"/>
      <c r="CK30" s="36"/>
      <c r="CL30" s="36"/>
      <c r="CM30" s="36"/>
      <c r="CN30" s="36"/>
      <c r="CO30" s="36"/>
      <c r="CP30" s="36"/>
      <c r="CQ30" s="36"/>
      <c r="CR30" s="36"/>
      <c r="CS30" s="36"/>
      <c r="CT30" s="36"/>
      <c r="CU30" s="36"/>
      <c r="CV30" s="36"/>
      <c r="CW30" s="36"/>
      <c r="CX30" s="36"/>
      <c r="CY30" s="32"/>
      <c r="CZ30" s="36"/>
      <c r="DA30" s="36"/>
      <c r="DB30" s="36"/>
      <c r="DC30" s="36"/>
      <c r="DD30" s="36"/>
      <c r="DE30" s="36"/>
      <c r="DF30" s="36"/>
      <c r="DG30" s="36"/>
      <c r="DH30" s="36"/>
      <c r="DI30" s="36"/>
      <c r="DJ30" s="36"/>
      <c r="DK30" s="36"/>
      <c r="DL30" s="36"/>
      <c r="DM30" s="36"/>
      <c r="DN30" s="36"/>
      <c r="DO30" s="33"/>
      <c r="DP30" s="33"/>
      <c r="DQ30" s="34"/>
      <c r="DR30" s="30"/>
      <c r="DS30" s="36"/>
      <c r="DT30" s="36"/>
      <c r="DU30" s="36"/>
      <c r="DV30" s="36"/>
      <c r="DW30" s="36"/>
      <c r="DX30" s="36"/>
      <c r="DY30" s="36"/>
      <c r="DZ30" s="36"/>
      <c r="EA30" s="36"/>
      <c r="EB30" s="36"/>
      <c r="EC30" s="36"/>
      <c r="ED30" s="36"/>
      <c r="EE30" s="36"/>
      <c r="EF30" s="36"/>
      <c r="EG30" s="36"/>
      <c r="EH30" s="36"/>
      <c r="EI30" s="31"/>
      <c r="EJ30" s="36"/>
      <c r="EK30" s="36"/>
      <c r="EL30" s="36"/>
      <c r="EM30" s="36"/>
      <c r="EN30" s="36"/>
      <c r="EO30" s="36"/>
      <c r="EP30" s="36"/>
      <c r="EQ30" s="36"/>
      <c r="ER30" s="36"/>
      <c r="ES30" s="36"/>
      <c r="ET30" s="36"/>
      <c r="EU30" s="36"/>
      <c r="EV30" s="36"/>
      <c r="EW30" s="36"/>
      <c r="EX30" s="36"/>
      <c r="EY30" s="36"/>
      <c r="EZ30" s="36"/>
      <c r="FA30" s="32"/>
      <c r="FB30" s="36"/>
      <c r="FC30" s="36"/>
      <c r="FD30" s="36"/>
      <c r="FE30" s="36"/>
      <c r="FF30" s="36"/>
      <c r="FG30" s="36"/>
      <c r="FH30" s="36"/>
      <c r="FI30" s="36"/>
      <c r="FJ30" s="36"/>
      <c r="FK30" s="36"/>
      <c r="FL30" s="36"/>
      <c r="FM30" s="36"/>
      <c r="FN30" s="36"/>
      <c r="FO30" s="36"/>
      <c r="FP30" s="36"/>
      <c r="FQ30" s="33"/>
      <c r="FR30" s="33"/>
      <c r="FS30" s="34"/>
      <c r="FT30" s="30"/>
      <c r="FU30" s="36"/>
      <c r="FV30" s="36"/>
      <c r="FW30" s="36"/>
      <c r="FX30" s="36"/>
      <c r="FY30" s="36"/>
      <c r="FZ30" s="36"/>
      <c r="GA30" s="36"/>
      <c r="GB30" s="36"/>
      <c r="GC30" s="36"/>
      <c r="GD30" s="36"/>
      <c r="GE30" s="36"/>
      <c r="GF30" s="36"/>
      <c r="GG30" s="36"/>
      <c r="GH30" s="36"/>
      <c r="GI30" s="36"/>
      <c r="GJ30" s="36"/>
      <c r="GK30" s="31"/>
      <c r="GL30" s="36"/>
      <c r="GM30" s="36"/>
      <c r="GN30" s="36"/>
      <c r="GO30" s="36"/>
      <c r="GP30" s="36"/>
      <c r="GQ30" s="36"/>
      <c r="GR30" s="36"/>
      <c r="GS30" s="36"/>
      <c r="GT30" s="36"/>
      <c r="GU30" s="36"/>
      <c r="GV30" s="36"/>
      <c r="GW30" s="36"/>
      <c r="GX30" s="36"/>
      <c r="GY30" s="36"/>
      <c r="GZ30" s="36"/>
      <c r="HA30" s="36"/>
      <c r="HB30" s="36"/>
      <c r="HC30" s="32"/>
      <c r="HD30" s="36"/>
      <c r="HE30" s="36"/>
      <c r="HF30" s="36"/>
      <c r="HG30" s="36"/>
      <c r="HH30" s="36"/>
      <c r="HI30" s="36"/>
      <c r="HJ30" s="36"/>
      <c r="HK30" s="36"/>
      <c r="HL30" s="36"/>
      <c r="HM30" s="36"/>
      <c r="HN30" s="36"/>
      <c r="HO30" s="36"/>
      <c r="HP30" s="36"/>
      <c r="HQ30" s="36"/>
      <c r="HR30" s="36"/>
      <c r="HS30" s="33"/>
      <c r="HT30" s="33"/>
      <c r="HU30" s="35"/>
      <c r="HV30" s="36"/>
      <c r="HW30" s="36"/>
    </row>
    <row r="31" spans="1:231">
      <c r="A31" s="36"/>
      <c r="B31" s="30"/>
      <c r="C31" s="2"/>
      <c r="D31" s="37"/>
      <c r="E31" s="36"/>
      <c r="F31" s="36"/>
      <c r="G31" s="36"/>
      <c r="H31" s="36"/>
      <c r="I31" s="36"/>
      <c r="J31" s="36"/>
      <c r="K31" s="2"/>
      <c r="L31" s="2"/>
      <c r="M31" s="62"/>
      <c r="N31" s="30"/>
      <c r="O31" s="52"/>
      <c r="P31" s="28"/>
      <c r="Q31" s="36"/>
      <c r="R31" s="2"/>
      <c r="S31" s="2"/>
      <c r="T31" s="36"/>
      <c r="U31" s="36"/>
      <c r="V31" s="36"/>
      <c r="W31" s="36"/>
      <c r="X31" s="36"/>
      <c r="Y31" s="36"/>
      <c r="Z31" s="36"/>
      <c r="AA31" s="36"/>
      <c r="AB31" s="36"/>
      <c r="AC31" s="36"/>
      <c r="AD31" s="36"/>
      <c r="AE31" s="39"/>
      <c r="AF31" s="36"/>
      <c r="AG31" s="36"/>
      <c r="AH31" s="36"/>
      <c r="AI31" s="36"/>
      <c r="AJ31" s="36"/>
      <c r="AK31" s="36"/>
      <c r="AL31" s="36"/>
      <c r="AM31" s="36"/>
      <c r="AN31" s="36"/>
      <c r="AO31" s="36"/>
      <c r="AP31" s="36"/>
      <c r="AQ31" s="36"/>
      <c r="AR31" s="36"/>
      <c r="AS31" s="36"/>
      <c r="AT31" s="36"/>
      <c r="AU31" s="36"/>
      <c r="AV31" s="36"/>
      <c r="AW31" s="40"/>
      <c r="AX31" s="36"/>
      <c r="AY31" s="36"/>
      <c r="AZ31" s="36"/>
      <c r="BA31" s="6">
        <f t="shared" si="31"/>
        <v>0</v>
      </c>
      <c r="BB31" s="36"/>
      <c r="BC31" s="36"/>
      <c r="BD31" s="36"/>
      <c r="BE31" s="36"/>
      <c r="BF31" s="36"/>
      <c r="BG31" s="36"/>
      <c r="BH31" s="36"/>
      <c r="BI31" s="6">
        <f t="shared" si="33"/>
        <v>0</v>
      </c>
      <c r="BJ31" s="36"/>
      <c r="BK31" s="36"/>
      <c r="BL31" s="36"/>
      <c r="BM31" s="14">
        <f t="shared" si="34"/>
        <v>0</v>
      </c>
      <c r="BN31" s="43"/>
      <c r="BO31" s="47"/>
      <c r="BP31" s="30"/>
      <c r="BQ31" s="42"/>
      <c r="BR31" s="36"/>
      <c r="BS31" s="42"/>
      <c r="BT31" s="42"/>
      <c r="BU31" s="2"/>
      <c r="BV31" s="36"/>
      <c r="BW31" s="36"/>
      <c r="BX31" s="36"/>
      <c r="BY31" s="36"/>
      <c r="BZ31" s="36"/>
      <c r="CA31" s="36"/>
      <c r="CB31" s="36"/>
      <c r="CC31" s="36"/>
      <c r="CD31" s="36"/>
      <c r="CE31" s="36"/>
      <c r="CF31" s="36"/>
      <c r="CG31" s="31"/>
      <c r="CH31" s="36"/>
      <c r="CI31" s="36"/>
      <c r="CJ31" s="36"/>
      <c r="CK31" s="36"/>
      <c r="CL31" s="36"/>
      <c r="CM31" s="36"/>
      <c r="CN31" s="36"/>
      <c r="CO31" s="36"/>
      <c r="CP31" s="36"/>
      <c r="CQ31" s="36"/>
      <c r="CR31" s="36"/>
      <c r="CS31" s="36"/>
      <c r="CT31" s="36"/>
      <c r="CU31" s="36"/>
      <c r="CV31" s="36"/>
      <c r="CW31" s="36"/>
      <c r="CX31" s="36"/>
      <c r="CY31" s="32"/>
      <c r="CZ31" s="36"/>
      <c r="DA31" s="36"/>
      <c r="DB31" s="36"/>
      <c r="DC31" s="36"/>
      <c r="DD31" s="36"/>
      <c r="DE31" s="36"/>
      <c r="DF31" s="36"/>
      <c r="DG31" s="36"/>
      <c r="DH31" s="36"/>
      <c r="DI31" s="36"/>
      <c r="DJ31" s="36"/>
      <c r="DK31" s="36"/>
      <c r="DL31" s="36"/>
      <c r="DM31" s="36"/>
      <c r="DN31" s="36"/>
      <c r="DO31" s="33"/>
      <c r="DP31" s="43"/>
      <c r="DQ31" s="47"/>
      <c r="DR31" s="45"/>
      <c r="DS31" s="42"/>
      <c r="DT31" s="42"/>
      <c r="DU31" s="42"/>
      <c r="DV31" s="42"/>
      <c r="DW31" s="42"/>
      <c r="DX31" s="42"/>
      <c r="DY31" s="42"/>
      <c r="DZ31" s="42"/>
      <c r="EA31" s="42"/>
      <c r="EB31" s="42"/>
      <c r="EC31" s="42"/>
      <c r="ED31" s="42"/>
      <c r="EE31" s="42"/>
      <c r="EF31" s="42"/>
      <c r="EG31" s="42"/>
      <c r="EH31" s="42"/>
      <c r="EI31" s="31"/>
      <c r="EJ31" s="42"/>
      <c r="EK31" s="42"/>
      <c r="EL31" s="42"/>
      <c r="EM31" s="42"/>
      <c r="EN31" s="42"/>
      <c r="EO31" s="42"/>
      <c r="EP31" s="42"/>
      <c r="EQ31" s="42"/>
      <c r="ER31" s="42"/>
      <c r="ES31" s="42"/>
      <c r="ET31" s="42"/>
      <c r="EU31" s="42"/>
      <c r="EV31" s="42"/>
      <c r="EW31" s="42"/>
      <c r="EX31" s="42"/>
      <c r="EY31" s="42"/>
      <c r="EZ31" s="42"/>
      <c r="FA31" s="32"/>
      <c r="FB31" s="42"/>
      <c r="FC31" s="42"/>
      <c r="FD31" s="42"/>
      <c r="FE31" s="36"/>
      <c r="FF31" s="42"/>
      <c r="FG31" s="42"/>
      <c r="FH31" s="42"/>
      <c r="FI31" s="36"/>
      <c r="FJ31" s="36"/>
      <c r="FK31" s="36"/>
      <c r="FL31" s="36"/>
      <c r="FM31" s="36"/>
      <c r="FN31" s="36"/>
      <c r="FO31" s="36"/>
      <c r="FP31" s="36"/>
      <c r="FQ31" s="33"/>
      <c r="FR31" s="43"/>
      <c r="FS31" s="47"/>
      <c r="FT31" s="45"/>
      <c r="FU31" s="42"/>
      <c r="FV31" s="42"/>
      <c r="FW31" s="42"/>
      <c r="FX31" s="42"/>
      <c r="FY31" s="42"/>
      <c r="FZ31" s="42"/>
      <c r="GA31" s="42"/>
      <c r="GB31" s="42"/>
      <c r="GC31" s="42"/>
      <c r="GD31" s="42"/>
      <c r="GE31" s="42"/>
      <c r="GF31" s="42"/>
      <c r="GG31" s="42"/>
      <c r="GH31" s="42"/>
      <c r="GI31" s="42"/>
      <c r="GJ31" s="42"/>
      <c r="GK31" s="50"/>
      <c r="GL31" s="42"/>
      <c r="GM31" s="42"/>
      <c r="GN31" s="42"/>
      <c r="GO31" s="42"/>
      <c r="GP31" s="42"/>
      <c r="GQ31" s="42"/>
      <c r="GR31" s="42"/>
      <c r="GS31" s="42"/>
      <c r="GT31" s="42"/>
      <c r="GU31" s="42"/>
      <c r="GV31" s="42"/>
      <c r="GW31" s="42"/>
      <c r="GX31" s="42"/>
      <c r="GY31" s="42"/>
      <c r="GZ31" s="42"/>
      <c r="HA31" s="42"/>
      <c r="HB31" s="42"/>
      <c r="HC31" s="51"/>
      <c r="HD31" s="42"/>
      <c r="HE31" s="42"/>
      <c r="HF31" s="42"/>
      <c r="HG31" s="36"/>
      <c r="HH31" s="42"/>
      <c r="HI31" s="42"/>
      <c r="HJ31" s="42"/>
      <c r="HK31" s="36"/>
      <c r="HL31" s="42"/>
      <c r="HM31" s="42"/>
      <c r="HN31" s="42"/>
      <c r="HO31" s="36"/>
      <c r="HP31" s="42"/>
      <c r="HQ31" s="42"/>
      <c r="HR31" s="36"/>
      <c r="HS31" s="33"/>
      <c r="HT31" s="43"/>
      <c r="HU31" s="35"/>
      <c r="HV31" s="36"/>
      <c r="HW31" s="36"/>
    </row>
    <row r="32" spans="1:231">
      <c r="A32" s="36"/>
      <c r="B32" s="30"/>
      <c r="C32" s="36"/>
      <c r="D32" s="37"/>
      <c r="E32" s="36"/>
      <c r="F32" s="36"/>
      <c r="G32" s="36"/>
      <c r="H32" s="36"/>
      <c r="I32" s="36"/>
      <c r="J32" s="36"/>
      <c r="K32" s="2"/>
      <c r="L32" s="2"/>
      <c r="M32" s="62"/>
      <c r="N32" s="30"/>
      <c r="O32" s="52"/>
      <c r="P32" s="28"/>
      <c r="Q32" s="36"/>
      <c r="R32" s="36"/>
      <c r="S32" s="2"/>
      <c r="T32" s="36"/>
      <c r="U32" s="36"/>
      <c r="V32" s="36"/>
      <c r="W32" s="36"/>
      <c r="X32" s="36"/>
      <c r="Y32" s="36"/>
      <c r="Z32" s="36"/>
      <c r="AA32" s="36"/>
      <c r="AB32" s="36"/>
      <c r="AC32" s="36"/>
      <c r="AD32" s="36"/>
      <c r="AE32" s="39"/>
      <c r="AF32" s="36"/>
      <c r="AG32" s="36"/>
      <c r="AH32" s="36"/>
      <c r="AI32" s="36"/>
      <c r="AJ32" s="36"/>
      <c r="AK32" s="36"/>
      <c r="AL32" s="36"/>
      <c r="AM32" s="36"/>
      <c r="AN32" s="36"/>
      <c r="AO32" s="36"/>
      <c r="AP32" s="36"/>
      <c r="AQ32" s="36"/>
      <c r="AR32" s="36"/>
      <c r="AS32" s="36"/>
      <c r="AT32" s="36"/>
      <c r="AU32" s="36"/>
      <c r="AV32" s="36"/>
      <c r="AW32" s="40"/>
      <c r="AX32" s="36"/>
      <c r="AY32" s="36"/>
      <c r="AZ32" s="36"/>
      <c r="BA32" s="6">
        <f t="shared" si="31"/>
        <v>0</v>
      </c>
      <c r="BB32" s="36"/>
      <c r="BC32" s="36"/>
      <c r="BD32" s="36"/>
      <c r="BE32" s="36"/>
      <c r="BF32" s="36"/>
      <c r="BG32" s="36"/>
      <c r="BH32" s="36"/>
      <c r="BI32" s="6">
        <f t="shared" si="33"/>
        <v>0</v>
      </c>
      <c r="BJ32" s="36"/>
      <c r="BK32" s="36"/>
      <c r="BL32" s="36"/>
      <c r="BM32" s="14">
        <f t="shared" si="34"/>
        <v>0</v>
      </c>
      <c r="BN32" s="43"/>
      <c r="BO32" s="47"/>
      <c r="BP32" s="30"/>
      <c r="BQ32" s="52"/>
      <c r="BR32" s="28"/>
      <c r="BS32" s="2"/>
      <c r="BT32" s="36"/>
      <c r="BU32" s="54"/>
      <c r="BV32" s="36"/>
      <c r="BW32" s="36"/>
      <c r="BX32" s="36"/>
      <c r="BY32" s="36"/>
      <c r="BZ32" s="36"/>
      <c r="CA32" s="36"/>
      <c r="CB32" s="36"/>
      <c r="CC32" s="36"/>
      <c r="CD32" s="36"/>
      <c r="CE32" s="36"/>
      <c r="CF32" s="36"/>
      <c r="CG32" s="31"/>
      <c r="CH32" s="36"/>
      <c r="CI32" s="36"/>
      <c r="CJ32" s="36"/>
      <c r="CK32" s="36"/>
      <c r="CL32" s="36"/>
      <c r="CM32" s="36"/>
      <c r="CN32" s="36"/>
      <c r="CO32" s="36"/>
      <c r="CP32" s="36"/>
      <c r="CQ32" s="36"/>
      <c r="CR32" s="36"/>
      <c r="CS32" s="36"/>
      <c r="CT32" s="36"/>
      <c r="CU32" s="36"/>
      <c r="CV32" s="36"/>
      <c r="CW32" s="36"/>
      <c r="CX32" s="36"/>
      <c r="CY32" s="32"/>
      <c r="CZ32" s="36"/>
      <c r="DA32" s="36"/>
      <c r="DB32" s="36"/>
      <c r="DC32" s="36"/>
      <c r="DD32" s="36"/>
      <c r="DE32" s="36"/>
      <c r="DF32" s="36"/>
      <c r="DG32" s="36"/>
      <c r="DH32" s="36"/>
      <c r="DI32" s="36"/>
      <c r="DJ32" s="36"/>
      <c r="DK32" s="36"/>
      <c r="DL32" s="36"/>
      <c r="DM32" s="36"/>
      <c r="DN32" s="36"/>
      <c r="DO32" s="33"/>
      <c r="DP32" s="43"/>
      <c r="DQ32" s="47"/>
      <c r="DR32" s="30"/>
      <c r="DS32" s="36"/>
      <c r="DT32" s="36"/>
      <c r="DU32" s="42"/>
      <c r="DV32" s="42"/>
      <c r="DW32" s="42"/>
      <c r="DX32" s="42"/>
      <c r="DY32" s="42"/>
      <c r="DZ32" s="42"/>
      <c r="EA32" s="42"/>
      <c r="EB32" s="42"/>
      <c r="EC32" s="42"/>
      <c r="ED32" s="42"/>
      <c r="EE32" s="42"/>
      <c r="EF32" s="42"/>
      <c r="EG32" s="42"/>
      <c r="EH32" s="42"/>
      <c r="EI32" s="31"/>
      <c r="EJ32" s="42"/>
      <c r="EK32" s="42"/>
      <c r="EL32" s="42"/>
      <c r="EM32" s="42"/>
      <c r="EN32" s="42"/>
      <c r="EO32" s="42"/>
      <c r="EP32" s="42"/>
      <c r="EQ32" s="42"/>
      <c r="ER32" s="42"/>
      <c r="ES32" s="42"/>
      <c r="ET32" s="42"/>
      <c r="EU32" s="42"/>
      <c r="EV32" s="42"/>
      <c r="EW32" s="42"/>
      <c r="EX32" s="42"/>
      <c r="EY32" s="42"/>
      <c r="EZ32" s="42"/>
      <c r="FA32" s="32"/>
      <c r="FB32" s="42"/>
      <c r="FC32" s="42"/>
      <c r="FD32" s="42"/>
      <c r="FE32" s="36"/>
      <c r="FF32" s="42"/>
      <c r="FG32" s="42"/>
      <c r="FH32" s="42"/>
      <c r="FI32" s="36"/>
      <c r="FJ32" s="36"/>
      <c r="FK32" s="36"/>
      <c r="FL32" s="36"/>
      <c r="FM32" s="36"/>
      <c r="FN32" s="36"/>
      <c r="FO32" s="36"/>
      <c r="FP32" s="36"/>
      <c r="FQ32" s="33"/>
      <c r="FR32" s="43"/>
      <c r="FS32" s="47"/>
      <c r="FT32" s="45"/>
      <c r="FU32" s="42"/>
      <c r="FV32" s="42"/>
      <c r="FW32" s="42"/>
      <c r="FX32" s="42"/>
      <c r="FY32" s="42"/>
      <c r="FZ32" s="42"/>
      <c r="GA32" s="42"/>
      <c r="GB32" s="42"/>
      <c r="GC32" s="42"/>
      <c r="GD32" s="42"/>
      <c r="GE32" s="42"/>
      <c r="GF32" s="42"/>
      <c r="GG32" s="42"/>
      <c r="GH32" s="42"/>
      <c r="GI32" s="42"/>
      <c r="GJ32" s="42"/>
      <c r="GK32" s="50"/>
      <c r="GL32" s="42"/>
      <c r="GM32" s="42"/>
      <c r="GN32" s="42"/>
      <c r="GO32" s="42"/>
      <c r="GP32" s="42"/>
      <c r="GQ32" s="42"/>
      <c r="GR32" s="42"/>
      <c r="GS32" s="42"/>
      <c r="GT32" s="42"/>
      <c r="GU32" s="42"/>
      <c r="GV32" s="42"/>
      <c r="GW32" s="42"/>
      <c r="GX32" s="42"/>
      <c r="GY32" s="42"/>
      <c r="GZ32" s="42"/>
      <c r="HA32" s="42"/>
      <c r="HB32" s="42"/>
      <c r="HC32" s="51"/>
      <c r="HD32" s="42"/>
      <c r="HE32" s="42"/>
      <c r="HF32" s="42"/>
      <c r="HG32" s="36"/>
      <c r="HH32" s="42"/>
      <c r="HI32" s="42"/>
      <c r="HJ32" s="42"/>
      <c r="HK32" s="36"/>
      <c r="HL32" s="42"/>
      <c r="HM32" s="42"/>
      <c r="HN32" s="42"/>
      <c r="HO32" s="36"/>
      <c r="HP32" s="42"/>
      <c r="HQ32" s="42"/>
      <c r="HR32" s="36"/>
      <c r="HS32" s="33"/>
      <c r="HT32" s="43"/>
      <c r="HU32" s="35"/>
      <c r="HV32" s="36"/>
      <c r="HW32" s="36"/>
    </row>
    <row r="33" spans="1:231">
      <c r="A33" s="36"/>
      <c r="B33" s="30"/>
      <c r="C33" s="2"/>
      <c r="D33" s="37"/>
      <c r="E33" s="36"/>
      <c r="F33" s="36"/>
      <c r="G33" s="36"/>
      <c r="H33" s="2"/>
      <c r="I33" s="36"/>
      <c r="J33" s="36"/>
      <c r="K33" s="2"/>
      <c r="L33" s="36"/>
      <c r="M33" s="42"/>
      <c r="N33" s="30"/>
      <c r="O33" s="52"/>
      <c r="P33" s="36"/>
      <c r="Q33" s="2"/>
      <c r="R33" s="36"/>
      <c r="S33" s="2"/>
      <c r="T33" s="36"/>
      <c r="U33" s="36"/>
      <c r="V33" s="36"/>
      <c r="W33" s="36"/>
      <c r="X33" s="36"/>
      <c r="Y33" s="36"/>
      <c r="Z33" s="36"/>
      <c r="AA33" s="36"/>
      <c r="AB33" s="36"/>
      <c r="AC33" s="36"/>
      <c r="AD33" s="36"/>
      <c r="AE33" s="39"/>
      <c r="AF33" s="36"/>
      <c r="AG33" s="36"/>
      <c r="AH33" s="36"/>
      <c r="AI33" s="36"/>
      <c r="AJ33" s="36"/>
      <c r="AK33" s="36"/>
      <c r="AL33" s="36"/>
      <c r="AM33" s="36"/>
      <c r="AN33" s="36"/>
      <c r="AO33" s="36"/>
      <c r="AP33" s="36"/>
      <c r="AQ33" s="36"/>
      <c r="AR33" s="36"/>
      <c r="AS33" s="36"/>
      <c r="AT33" s="36"/>
      <c r="AU33" s="36"/>
      <c r="AV33" s="36"/>
      <c r="AW33" s="40"/>
      <c r="AX33" s="36"/>
      <c r="AY33" s="36"/>
      <c r="AZ33" s="36"/>
      <c r="BA33" s="6">
        <f t="shared" si="31"/>
        <v>0</v>
      </c>
      <c r="BB33" s="36"/>
      <c r="BC33" s="36"/>
      <c r="BD33" s="36"/>
      <c r="BE33" s="36"/>
      <c r="BF33" s="36"/>
      <c r="BG33" s="36"/>
      <c r="BH33" s="36"/>
      <c r="BI33" s="6">
        <f t="shared" si="33"/>
        <v>0</v>
      </c>
      <c r="BJ33" s="36"/>
      <c r="BK33" s="36"/>
      <c r="BL33" s="36"/>
      <c r="BM33" s="14">
        <f t="shared" si="34"/>
        <v>0</v>
      </c>
      <c r="BN33" s="43"/>
      <c r="BO33" s="47"/>
      <c r="BP33" s="45"/>
      <c r="BQ33" s="42"/>
      <c r="BR33" s="42"/>
      <c r="BS33" s="42"/>
      <c r="BT33" s="42"/>
      <c r="BU33" s="42"/>
      <c r="BV33" s="42"/>
      <c r="BW33" s="42"/>
      <c r="BX33" s="42"/>
      <c r="BY33" s="42"/>
      <c r="BZ33" s="42"/>
      <c r="CA33" s="42"/>
      <c r="CB33" s="42"/>
      <c r="CC33" s="42"/>
      <c r="CD33" s="42"/>
      <c r="CE33" s="42"/>
      <c r="CF33" s="42"/>
      <c r="CG33" s="31"/>
      <c r="CH33" s="42"/>
      <c r="CI33" s="42"/>
      <c r="CJ33" s="42"/>
      <c r="CK33" s="42"/>
      <c r="CL33" s="42"/>
      <c r="CM33" s="42"/>
      <c r="CN33" s="42"/>
      <c r="CO33" s="42"/>
      <c r="CP33" s="42"/>
      <c r="CQ33" s="42"/>
      <c r="CR33" s="42"/>
      <c r="CS33" s="42"/>
      <c r="CT33" s="42"/>
      <c r="CU33" s="42"/>
      <c r="CV33" s="42"/>
      <c r="CW33" s="42"/>
      <c r="CX33" s="42"/>
      <c r="CY33" s="32"/>
      <c r="CZ33" s="36"/>
      <c r="DA33" s="36"/>
      <c r="DB33" s="36"/>
      <c r="DC33" s="36"/>
      <c r="DD33" s="36"/>
      <c r="DE33" s="36"/>
      <c r="DF33" s="36"/>
      <c r="DG33" s="36"/>
      <c r="DH33" s="36"/>
      <c r="DI33" s="36"/>
      <c r="DJ33" s="36"/>
      <c r="DK33" s="36"/>
      <c r="DL33" s="36"/>
      <c r="DM33" s="36"/>
      <c r="DN33" s="36"/>
      <c r="DO33" s="33"/>
      <c r="DP33" s="43"/>
      <c r="DQ33" s="47"/>
      <c r="DR33" s="45"/>
      <c r="DS33" s="42"/>
      <c r="DT33" s="42"/>
      <c r="DU33" s="42"/>
      <c r="DV33" s="42"/>
      <c r="DW33" s="42"/>
      <c r="DX33" s="42"/>
      <c r="DY33" s="42"/>
      <c r="DZ33" s="42"/>
      <c r="EA33" s="42"/>
      <c r="EB33" s="42"/>
      <c r="EC33" s="42"/>
      <c r="ED33" s="42"/>
      <c r="EE33" s="42"/>
      <c r="EF33" s="42"/>
      <c r="EG33" s="42"/>
      <c r="EH33" s="42"/>
      <c r="EI33" s="31"/>
      <c r="EJ33" s="42"/>
      <c r="EK33" s="42"/>
      <c r="EL33" s="42"/>
      <c r="EM33" s="42"/>
      <c r="EN33" s="42"/>
      <c r="EO33" s="42"/>
      <c r="EP33" s="42"/>
      <c r="EQ33" s="42"/>
      <c r="ER33" s="42"/>
      <c r="ES33" s="42"/>
      <c r="ET33" s="42"/>
      <c r="EU33" s="42"/>
      <c r="EV33" s="42"/>
      <c r="EW33" s="42"/>
      <c r="EX33" s="42"/>
      <c r="EY33" s="42"/>
      <c r="EZ33" s="42"/>
      <c r="FA33" s="32"/>
      <c r="FB33" s="42"/>
      <c r="FC33" s="42"/>
      <c r="FD33" s="42"/>
      <c r="FE33" s="42"/>
      <c r="FF33" s="42"/>
      <c r="FG33" s="42"/>
      <c r="FH33" s="42"/>
      <c r="FI33" s="36"/>
      <c r="FJ33" s="36"/>
      <c r="FK33" s="36"/>
      <c r="FL33" s="36"/>
      <c r="FM33" s="36"/>
      <c r="FN33" s="36"/>
      <c r="FO33" s="36"/>
      <c r="FP33" s="36"/>
      <c r="FQ33" s="33"/>
      <c r="FR33" s="43"/>
      <c r="FS33" s="47"/>
      <c r="FT33" s="45"/>
      <c r="FU33" s="42"/>
      <c r="FV33" s="42"/>
      <c r="FW33" s="42"/>
      <c r="FX33" s="42"/>
      <c r="FY33" s="42"/>
      <c r="FZ33" s="42"/>
      <c r="GA33" s="42"/>
      <c r="GB33" s="42"/>
      <c r="GC33" s="42"/>
      <c r="GD33" s="42"/>
      <c r="GE33" s="42"/>
      <c r="GF33" s="42"/>
      <c r="GG33" s="42"/>
      <c r="GH33" s="42"/>
      <c r="GI33" s="42"/>
      <c r="GJ33" s="42"/>
      <c r="GK33" s="50"/>
      <c r="GL33" s="42"/>
      <c r="GM33" s="42"/>
      <c r="GN33" s="42"/>
      <c r="GO33" s="42"/>
      <c r="GP33" s="42"/>
      <c r="GQ33" s="42"/>
      <c r="GR33" s="42"/>
      <c r="GS33" s="42"/>
      <c r="GT33" s="42"/>
      <c r="GU33" s="42"/>
      <c r="GV33" s="42"/>
      <c r="GW33" s="42"/>
      <c r="GX33" s="42"/>
      <c r="GY33" s="42"/>
      <c r="GZ33" s="42"/>
      <c r="HA33" s="42"/>
      <c r="HB33" s="42"/>
      <c r="HC33" s="51"/>
      <c r="HD33" s="42"/>
      <c r="HE33" s="42"/>
      <c r="HF33" s="42"/>
      <c r="HG33" s="36"/>
      <c r="HH33" s="42"/>
      <c r="HI33" s="42"/>
      <c r="HJ33" s="42"/>
      <c r="HK33" s="36"/>
      <c r="HL33" s="42"/>
      <c r="HM33" s="42"/>
      <c r="HN33" s="42"/>
      <c r="HO33" s="36"/>
      <c r="HP33" s="42"/>
      <c r="HQ33" s="42"/>
      <c r="HR33" s="36"/>
      <c r="HS33" s="33"/>
      <c r="HT33" s="43"/>
      <c r="HU33" s="35"/>
      <c r="HV33" s="42"/>
      <c r="HW33" s="42"/>
    </row>
    <row r="34" spans="1:231">
      <c r="A34" s="36"/>
      <c r="B34" s="30"/>
      <c r="C34" s="36"/>
      <c r="D34" s="37"/>
      <c r="E34" s="36"/>
      <c r="F34" s="36"/>
      <c r="G34" s="36"/>
      <c r="H34" s="36"/>
      <c r="I34" s="36"/>
      <c r="J34" s="36"/>
      <c r="K34" s="2"/>
      <c r="L34" s="36"/>
      <c r="M34" s="42"/>
      <c r="N34" s="30"/>
      <c r="O34" s="52"/>
      <c r="P34" s="36"/>
      <c r="Q34" s="36"/>
      <c r="R34" s="36"/>
      <c r="S34" s="2"/>
      <c r="T34" s="36"/>
      <c r="U34" s="36"/>
      <c r="V34" s="36"/>
      <c r="W34" s="36"/>
      <c r="X34" s="36"/>
      <c r="Y34" s="36"/>
      <c r="Z34" s="36"/>
      <c r="AA34" s="36"/>
      <c r="AB34" s="36"/>
      <c r="AC34" s="36"/>
      <c r="AD34" s="36"/>
      <c r="AE34" s="39"/>
      <c r="AF34" s="36"/>
      <c r="AG34" s="36"/>
      <c r="AH34" s="36"/>
      <c r="AI34" s="36"/>
      <c r="AJ34" s="36"/>
      <c r="AK34" s="36"/>
      <c r="AL34" s="36"/>
      <c r="AM34" s="36"/>
      <c r="AN34" s="36"/>
      <c r="AO34" s="36"/>
      <c r="AP34" s="36"/>
      <c r="AQ34" s="36"/>
      <c r="AR34" s="36"/>
      <c r="AS34" s="36"/>
      <c r="AT34" s="36"/>
      <c r="AU34" s="36"/>
      <c r="AV34" s="36"/>
      <c r="AW34" s="40"/>
      <c r="AX34" s="36"/>
      <c r="AY34" s="36"/>
      <c r="AZ34" s="36"/>
      <c r="BA34" s="6">
        <f t="shared" si="31"/>
        <v>0</v>
      </c>
      <c r="BB34" s="36"/>
      <c r="BC34" s="36"/>
      <c r="BD34" s="36"/>
      <c r="BE34" s="36"/>
      <c r="BF34" s="36"/>
      <c r="BG34" s="36"/>
      <c r="BH34" s="36"/>
      <c r="BI34" s="6">
        <f t="shared" si="33"/>
        <v>0</v>
      </c>
      <c r="BJ34" s="36"/>
      <c r="BK34" s="36"/>
      <c r="BL34" s="36"/>
      <c r="BM34" s="14">
        <f t="shared" si="34"/>
        <v>0</v>
      </c>
      <c r="BN34" s="43"/>
      <c r="BO34" s="47"/>
      <c r="BP34" s="45"/>
      <c r="BQ34" s="42"/>
      <c r="BR34" s="42"/>
      <c r="BS34" s="42"/>
      <c r="BT34" s="42"/>
      <c r="BU34" s="42"/>
      <c r="BV34" s="42"/>
      <c r="BW34" s="42"/>
      <c r="BX34" s="42"/>
      <c r="BY34" s="42"/>
      <c r="BZ34" s="42"/>
      <c r="CA34" s="42"/>
      <c r="CB34" s="42"/>
      <c r="CC34" s="42"/>
      <c r="CD34" s="42"/>
      <c r="CE34" s="42"/>
      <c r="CF34" s="42"/>
      <c r="CG34" s="31"/>
      <c r="CH34" s="42"/>
      <c r="CI34" s="42"/>
      <c r="CJ34" s="42"/>
      <c r="CK34" s="42"/>
      <c r="CL34" s="42"/>
      <c r="CM34" s="42"/>
      <c r="CN34" s="42"/>
      <c r="CO34" s="42"/>
      <c r="CP34" s="42"/>
      <c r="CQ34" s="42"/>
      <c r="CR34" s="42"/>
      <c r="CS34" s="42"/>
      <c r="CT34" s="42"/>
      <c r="CU34" s="42"/>
      <c r="CV34" s="42"/>
      <c r="CW34" s="42"/>
      <c r="CX34" s="42"/>
      <c r="CY34" s="32"/>
      <c r="CZ34" s="36"/>
      <c r="DA34" s="36"/>
      <c r="DB34" s="36"/>
      <c r="DC34" s="36"/>
      <c r="DD34" s="36"/>
      <c r="DE34" s="36"/>
      <c r="DF34" s="36"/>
      <c r="DG34" s="36"/>
      <c r="DH34" s="36"/>
      <c r="DI34" s="36"/>
      <c r="DJ34" s="36"/>
      <c r="DK34" s="36"/>
      <c r="DL34" s="36"/>
      <c r="DM34" s="36"/>
      <c r="DN34" s="36"/>
      <c r="DO34" s="33"/>
      <c r="DP34" s="43"/>
      <c r="DQ34" s="47"/>
      <c r="DR34" s="45"/>
      <c r="DS34" s="42"/>
      <c r="DT34" s="42"/>
      <c r="DU34" s="42"/>
      <c r="DV34" s="42"/>
      <c r="DW34" s="42"/>
      <c r="DX34" s="42"/>
      <c r="DY34" s="42"/>
      <c r="DZ34" s="42"/>
      <c r="EA34" s="42"/>
      <c r="EB34" s="42"/>
      <c r="EC34" s="42"/>
      <c r="ED34" s="42"/>
      <c r="EE34" s="42"/>
      <c r="EF34" s="42"/>
      <c r="EG34" s="42"/>
      <c r="EH34" s="42"/>
      <c r="EI34" s="31"/>
      <c r="EJ34" s="42"/>
      <c r="EK34" s="42"/>
      <c r="EL34" s="42"/>
      <c r="EM34" s="42"/>
      <c r="EN34" s="42"/>
      <c r="EO34" s="42"/>
      <c r="EP34" s="42"/>
      <c r="EQ34" s="42"/>
      <c r="ER34" s="42"/>
      <c r="ES34" s="42"/>
      <c r="ET34" s="42"/>
      <c r="EU34" s="42"/>
      <c r="EV34" s="42"/>
      <c r="EW34" s="42"/>
      <c r="EX34" s="42"/>
      <c r="EY34" s="42"/>
      <c r="EZ34" s="42"/>
      <c r="FA34" s="32"/>
      <c r="FB34" s="42"/>
      <c r="FC34" s="42"/>
      <c r="FD34" s="42"/>
      <c r="FE34" s="42"/>
      <c r="FF34" s="42"/>
      <c r="FG34" s="42"/>
      <c r="FH34" s="42"/>
      <c r="FI34" s="36"/>
      <c r="FJ34" s="36"/>
      <c r="FK34" s="36"/>
      <c r="FL34" s="36"/>
      <c r="FM34" s="36"/>
      <c r="FN34" s="36"/>
      <c r="FO34" s="36"/>
      <c r="FP34" s="36"/>
      <c r="FQ34" s="33"/>
      <c r="FR34" s="43"/>
      <c r="FS34" s="47"/>
      <c r="FT34" s="45"/>
      <c r="FU34" s="42"/>
      <c r="FV34" s="42"/>
      <c r="FW34" s="42"/>
      <c r="FX34" s="42"/>
      <c r="FY34" s="42"/>
      <c r="FZ34" s="42"/>
      <c r="GA34" s="42"/>
      <c r="GB34" s="42"/>
      <c r="GC34" s="42"/>
      <c r="GD34" s="42"/>
      <c r="GE34" s="42"/>
      <c r="GF34" s="42"/>
      <c r="GG34" s="42"/>
      <c r="GH34" s="42"/>
      <c r="GI34" s="42"/>
      <c r="GJ34" s="42"/>
      <c r="GK34" s="50"/>
      <c r="GL34" s="42"/>
      <c r="GM34" s="42"/>
      <c r="GN34" s="42"/>
      <c r="GO34" s="42"/>
      <c r="GP34" s="42"/>
      <c r="GQ34" s="42"/>
      <c r="GR34" s="42"/>
      <c r="GS34" s="42"/>
      <c r="GT34" s="42"/>
      <c r="GU34" s="42"/>
      <c r="GV34" s="42"/>
      <c r="GW34" s="42"/>
      <c r="GX34" s="42"/>
      <c r="GY34" s="42"/>
      <c r="GZ34" s="42"/>
      <c r="HA34" s="42"/>
      <c r="HB34" s="42"/>
      <c r="HC34" s="51"/>
      <c r="HD34" s="42"/>
      <c r="HE34" s="42"/>
      <c r="HF34" s="42"/>
      <c r="HG34" s="36"/>
      <c r="HH34" s="42"/>
      <c r="HI34" s="42"/>
      <c r="HJ34" s="42"/>
      <c r="HK34" s="36"/>
      <c r="HL34" s="42"/>
      <c r="HM34" s="42"/>
      <c r="HN34" s="42"/>
      <c r="HO34" s="36"/>
      <c r="HP34" s="42"/>
      <c r="HQ34" s="42"/>
      <c r="HR34" s="36"/>
      <c r="HS34" s="33"/>
      <c r="HT34" s="43"/>
      <c r="HU34" s="35"/>
      <c r="HV34" s="42"/>
      <c r="HW34" s="42"/>
    </row>
    <row r="35" spans="1:231">
      <c r="A35" s="36"/>
      <c r="B35" s="30"/>
      <c r="C35" s="6"/>
      <c r="D35" s="37"/>
      <c r="E35" s="6"/>
      <c r="F35" s="6"/>
      <c r="G35" s="6"/>
      <c r="H35" s="6"/>
      <c r="I35" s="4"/>
      <c r="J35" s="4"/>
      <c r="K35" s="6"/>
      <c r="L35" s="4"/>
      <c r="N35" s="7"/>
      <c r="O35" s="27"/>
      <c r="P35" s="6"/>
      <c r="Q35" s="36"/>
      <c r="R35" s="4"/>
      <c r="S35" s="4"/>
      <c r="T35" s="6"/>
      <c r="U35" s="6"/>
      <c r="V35" s="6"/>
      <c r="W35" s="6"/>
      <c r="X35" s="6"/>
      <c r="Y35" s="6"/>
      <c r="Z35" s="6"/>
      <c r="AA35" s="6"/>
      <c r="AB35" s="6"/>
      <c r="AC35" s="6"/>
      <c r="AD35" s="6"/>
      <c r="AE35" s="39"/>
      <c r="AF35" s="6"/>
      <c r="AG35" s="6"/>
      <c r="AH35" s="6"/>
      <c r="AI35" s="6"/>
      <c r="AJ35" s="6"/>
      <c r="AK35" s="6"/>
      <c r="AL35" s="6"/>
      <c r="AM35" s="6"/>
      <c r="AN35" s="6"/>
      <c r="AO35" s="6"/>
      <c r="AP35" s="6"/>
      <c r="AQ35" s="6"/>
      <c r="AR35" s="6"/>
      <c r="AS35" s="6"/>
      <c r="AT35" s="6"/>
      <c r="AU35" s="6"/>
      <c r="AV35" s="6"/>
      <c r="AW35" s="40"/>
      <c r="BA35" s="6">
        <f t="shared" si="31"/>
        <v>0</v>
      </c>
      <c r="BE35" s="36"/>
      <c r="BI35" s="6">
        <f t="shared" si="33"/>
        <v>0</v>
      </c>
      <c r="BL35" s="67"/>
      <c r="BM35" s="33"/>
      <c r="CG35" s="31"/>
      <c r="CY35" s="32"/>
      <c r="DC35" s="36"/>
      <c r="DG35" s="36"/>
      <c r="DK35" s="36"/>
      <c r="DN35" s="36"/>
      <c r="DO35" s="33"/>
      <c r="EI35" s="31"/>
      <c r="FA35" s="32"/>
      <c r="FI35" s="36"/>
      <c r="FJ35" s="6"/>
      <c r="FK35" s="6"/>
      <c r="FL35" s="6"/>
      <c r="FM35" s="36"/>
      <c r="FN35" s="6"/>
      <c r="FO35" s="6"/>
      <c r="FP35" s="36"/>
      <c r="FQ35" s="33"/>
      <c r="HK35" s="36"/>
      <c r="HO35" s="36"/>
      <c r="HS35" s="33"/>
    </row>
    <row r="36" spans="1:231">
      <c r="A36" s="6"/>
      <c r="B36" s="30"/>
      <c r="C36" s="4"/>
      <c r="D36" s="37"/>
      <c r="E36" s="6"/>
      <c r="F36" s="6"/>
      <c r="G36" s="6"/>
      <c r="H36" s="6"/>
      <c r="I36" s="4"/>
      <c r="J36" s="6"/>
      <c r="K36" s="4"/>
      <c r="L36" s="6"/>
      <c r="N36" s="7"/>
      <c r="O36" s="27"/>
      <c r="P36" s="6"/>
      <c r="Q36" s="36"/>
      <c r="R36" s="6"/>
      <c r="S36" s="4"/>
      <c r="T36" s="6"/>
      <c r="U36" s="6"/>
      <c r="V36" s="6"/>
      <c r="W36" s="6"/>
      <c r="X36" s="6"/>
      <c r="Y36" s="6"/>
      <c r="Z36" s="6"/>
      <c r="AA36" s="6"/>
      <c r="AB36" s="6"/>
      <c r="AC36" s="6"/>
      <c r="AD36" s="6"/>
      <c r="AE36" s="39"/>
      <c r="AF36" s="6"/>
      <c r="AG36" s="6"/>
      <c r="AH36" s="6"/>
      <c r="AI36" s="6"/>
      <c r="AJ36" s="6"/>
      <c r="AK36" s="6"/>
      <c r="AL36" s="6"/>
      <c r="AM36" s="6"/>
      <c r="AN36" s="6"/>
      <c r="AO36" s="6"/>
      <c r="AP36" s="6"/>
      <c r="AQ36" s="6"/>
      <c r="AR36" s="6"/>
      <c r="AS36" s="6"/>
      <c r="AT36" s="6"/>
      <c r="AU36" s="6"/>
      <c r="AV36" s="6"/>
      <c r="AW36" s="40"/>
      <c r="BA36" s="6">
        <f t="shared" si="31"/>
        <v>0</v>
      </c>
      <c r="BE36" s="36"/>
      <c r="BI36" s="6">
        <f t="shared" si="33"/>
        <v>0</v>
      </c>
      <c r="BL36" s="36"/>
      <c r="BM36" s="33"/>
      <c r="CG36" s="31"/>
      <c r="CY36" s="32"/>
      <c r="DC36" s="36"/>
      <c r="DG36" s="36"/>
      <c r="DK36" s="36"/>
      <c r="DN36" s="36"/>
      <c r="DO36" s="33"/>
      <c r="EI36" s="31"/>
      <c r="FA36" s="32"/>
    </row>
    <row r="37" spans="1:231">
      <c r="A37" s="6"/>
      <c r="B37" s="30"/>
      <c r="C37" s="6"/>
      <c r="D37" s="65"/>
      <c r="E37" s="6"/>
      <c r="F37" s="6"/>
      <c r="G37" s="6"/>
      <c r="H37" s="6"/>
      <c r="I37" s="6"/>
      <c r="J37" s="4"/>
      <c r="K37" s="4"/>
      <c r="L37" s="6"/>
      <c r="M37" s="6"/>
      <c r="N37" s="7"/>
      <c r="O37" s="27"/>
      <c r="P37" s="6"/>
      <c r="Q37" s="36"/>
      <c r="R37" s="36"/>
      <c r="S37" s="54"/>
      <c r="T37" s="6"/>
      <c r="U37" s="6"/>
      <c r="V37" s="6"/>
      <c r="W37" s="6"/>
      <c r="X37" s="6"/>
      <c r="Y37" s="6"/>
      <c r="Z37" s="6"/>
      <c r="AA37" s="6"/>
      <c r="AB37" s="6"/>
      <c r="AC37" s="6"/>
      <c r="AD37" s="6"/>
      <c r="AE37" s="39"/>
      <c r="AF37" s="6"/>
      <c r="AG37" s="6"/>
      <c r="AH37" s="6"/>
      <c r="AI37" s="6"/>
      <c r="AJ37" s="6"/>
      <c r="AK37" s="6"/>
      <c r="AL37" s="6"/>
      <c r="AM37" s="6"/>
      <c r="AN37" s="6"/>
      <c r="AO37" s="6"/>
      <c r="AP37" s="6"/>
      <c r="AQ37" s="6"/>
      <c r="AR37" s="6"/>
      <c r="AS37" s="6"/>
      <c r="AT37" s="6"/>
      <c r="AU37" s="6"/>
      <c r="AV37" s="6"/>
      <c r="AW37" s="40"/>
      <c r="BA37" s="6">
        <f t="shared" si="31"/>
        <v>0</v>
      </c>
      <c r="BE37" s="36"/>
      <c r="BI37" s="36"/>
      <c r="BL37" s="36"/>
      <c r="BM37" s="33"/>
      <c r="BP37" s="7"/>
      <c r="CG37" s="31"/>
      <c r="CY37" s="32"/>
      <c r="DK37" s="36"/>
      <c r="DN37" s="36"/>
      <c r="DO37" s="33"/>
      <c r="DR37" s="7"/>
      <c r="DS37" s="27"/>
      <c r="DT37" s="66"/>
      <c r="DW37" s="4"/>
      <c r="DX37" s="68"/>
      <c r="DY37" s="68"/>
      <c r="DZ37" s="68"/>
      <c r="EA37" s="68"/>
      <c r="EB37" s="68"/>
      <c r="EC37" s="68"/>
      <c r="ED37" s="68"/>
      <c r="EE37" s="68"/>
      <c r="EF37" s="68"/>
      <c r="EG37" s="68"/>
      <c r="EH37" s="68"/>
      <c r="EI37" s="31"/>
      <c r="EJ37" s="68"/>
      <c r="EK37" s="68"/>
      <c r="EL37" s="68"/>
      <c r="EM37" s="68"/>
      <c r="EN37" s="68"/>
      <c r="EO37" s="68"/>
      <c r="EP37" s="68"/>
      <c r="EQ37" s="68"/>
      <c r="ER37" s="68"/>
      <c r="ES37" s="68"/>
      <c r="ET37" s="68"/>
      <c r="EU37" s="68"/>
      <c r="EV37" s="68"/>
      <c r="EW37" s="68"/>
      <c r="EX37" s="68"/>
      <c r="EY37" s="68"/>
      <c r="EZ37" s="68"/>
      <c r="FA37" s="32"/>
    </row>
    <row r="38" spans="1:231">
      <c r="A38" s="6"/>
      <c r="B38" s="30"/>
      <c r="C38" s="6"/>
      <c r="D38" s="65"/>
      <c r="E38" s="6"/>
      <c r="F38" s="6"/>
      <c r="G38" s="6"/>
      <c r="H38" s="4"/>
      <c r="I38" s="2"/>
      <c r="J38" s="2"/>
      <c r="K38" s="4"/>
      <c r="L38" s="2"/>
      <c r="N38" s="7"/>
      <c r="O38" s="27"/>
      <c r="P38" s="6"/>
      <c r="Q38" s="36"/>
      <c r="R38" s="36"/>
      <c r="S38" s="4"/>
      <c r="T38" s="6"/>
      <c r="U38" s="6"/>
      <c r="V38" s="6"/>
      <c r="W38" s="6"/>
      <c r="X38" s="6"/>
      <c r="Y38" s="6"/>
      <c r="Z38" s="6"/>
      <c r="AA38" s="6"/>
      <c r="AB38" s="6"/>
      <c r="AC38" s="6"/>
      <c r="AD38" s="6"/>
      <c r="AE38" s="39"/>
      <c r="AF38" s="6"/>
      <c r="AG38" s="6"/>
      <c r="AH38" s="6"/>
      <c r="AI38" s="6"/>
      <c r="AJ38" s="6"/>
      <c r="AK38" s="6"/>
      <c r="AL38" s="6"/>
      <c r="AM38" s="6"/>
      <c r="AN38" s="6"/>
      <c r="AO38" s="6"/>
      <c r="AP38" s="6"/>
      <c r="AQ38" s="6"/>
      <c r="AR38" s="6"/>
      <c r="AS38" s="6"/>
      <c r="AT38" s="6"/>
      <c r="AU38" s="6"/>
      <c r="AV38" s="6"/>
      <c r="AW38" s="40"/>
      <c r="BA38" s="36"/>
      <c r="BE38" s="36"/>
      <c r="BI38" s="36"/>
      <c r="BL38" s="36"/>
      <c r="BM38" s="33"/>
      <c r="BO38" s="18"/>
      <c r="CG38" s="31"/>
      <c r="CY38" s="32"/>
      <c r="DK38" s="36"/>
      <c r="DN38" s="36"/>
      <c r="DO38" s="33"/>
      <c r="EI38" s="31"/>
      <c r="FA38" s="32"/>
    </row>
    <row r="39" spans="1:231">
      <c r="A39" s="6"/>
      <c r="B39" s="30"/>
      <c r="C39" s="4"/>
      <c r="D39" s="65"/>
      <c r="E39" s="6"/>
      <c r="F39" s="6"/>
      <c r="G39" s="6"/>
      <c r="H39" s="6"/>
      <c r="I39" s="6"/>
      <c r="J39" s="6"/>
      <c r="K39" s="4"/>
      <c r="L39" s="6"/>
      <c r="M39" s="6"/>
      <c r="N39" s="7"/>
      <c r="O39" s="27"/>
      <c r="P39" s="6"/>
      <c r="Q39" s="36"/>
      <c r="R39" s="6"/>
      <c r="S39" s="6"/>
      <c r="T39" s="6"/>
      <c r="U39" s="6"/>
      <c r="V39" s="6"/>
      <c r="W39" s="6"/>
      <c r="X39" s="6"/>
      <c r="Y39" s="6"/>
      <c r="Z39" s="6"/>
      <c r="AA39" s="6"/>
      <c r="AB39" s="6"/>
      <c r="AC39" s="6"/>
      <c r="AD39" s="6"/>
      <c r="AE39" s="39"/>
      <c r="AF39" s="6"/>
      <c r="AG39" s="6"/>
      <c r="AH39" s="6"/>
      <c r="AI39" s="6"/>
      <c r="AJ39" s="6"/>
      <c r="AK39" s="6"/>
      <c r="AL39" s="6"/>
      <c r="AM39" s="6"/>
      <c r="AN39" s="6"/>
      <c r="AO39" s="6"/>
      <c r="AP39" s="6"/>
      <c r="AQ39" s="6"/>
      <c r="AR39" s="6"/>
      <c r="AS39" s="6"/>
      <c r="AT39" s="6"/>
      <c r="AU39" s="6"/>
      <c r="AV39" s="6"/>
      <c r="AW39" s="40"/>
      <c r="BA39" s="36"/>
      <c r="BE39" s="36"/>
      <c r="BI39" s="36"/>
      <c r="BL39" s="36"/>
      <c r="BM39" s="33"/>
      <c r="BN39" s="15"/>
      <c r="BO39" s="18"/>
      <c r="BP39" s="7"/>
      <c r="BQ39" s="6"/>
      <c r="BR39" s="6"/>
      <c r="BS39" s="6"/>
      <c r="BT39" s="6"/>
      <c r="BU39" s="6"/>
      <c r="BV39" s="6"/>
      <c r="BW39" s="6"/>
      <c r="BX39" s="6"/>
      <c r="BY39" s="6"/>
      <c r="BZ39" s="6"/>
      <c r="CA39" s="6"/>
      <c r="CB39" s="6"/>
      <c r="CC39" s="6"/>
      <c r="CD39" s="6"/>
      <c r="CE39" s="6"/>
      <c r="CF39" s="6"/>
      <c r="CG39" s="11"/>
      <c r="CH39" s="6"/>
      <c r="CI39" s="6"/>
      <c r="CJ39" s="6"/>
      <c r="CK39" s="6"/>
      <c r="CL39" s="6"/>
      <c r="CM39" s="6"/>
      <c r="CN39" s="6"/>
      <c r="CO39" s="6"/>
      <c r="CP39" s="6"/>
      <c r="CQ39" s="6"/>
      <c r="CR39" s="6"/>
      <c r="CS39" s="6"/>
      <c r="CT39" s="6"/>
      <c r="CU39" s="6"/>
      <c r="CV39" s="6"/>
      <c r="CW39" s="6"/>
      <c r="CX39" s="6"/>
      <c r="CY39" s="32"/>
      <c r="DK39" s="36"/>
      <c r="DN39" s="36"/>
      <c r="DO39" s="33"/>
      <c r="DP39" s="14"/>
      <c r="DQ39" s="17"/>
      <c r="DR39" s="7"/>
      <c r="DS39" s="6"/>
      <c r="DT39" s="6"/>
      <c r="DU39" s="6"/>
      <c r="DV39" s="6"/>
      <c r="DW39" s="6"/>
      <c r="DX39" s="6"/>
      <c r="DY39" s="6"/>
      <c r="DZ39" s="6"/>
      <c r="EA39" s="6"/>
      <c r="EB39" s="6"/>
      <c r="EC39" s="6"/>
      <c r="ED39" s="6"/>
      <c r="EE39" s="6"/>
      <c r="EF39" s="6"/>
      <c r="EG39" s="6"/>
      <c r="EH39" s="6"/>
      <c r="EI39" s="31"/>
      <c r="EJ39" s="6"/>
      <c r="EK39" s="6"/>
      <c r="EL39" s="6"/>
      <c r="EM39" s="6"/>
      <c r="EN39" s="6"/>
      <c r="EO39" s="6"/>
      <c r="EP39" s="6"/>
      <c r="EQ39" s="6"/>
      <c r="ER39" s="6"/>
      <c r="ES39" s="6"/>
      <c r="ET39" s="6"/>
      <c r="EU39" s="6"/>
      <c r="EV39" s="6"/>
      <c r="EW39" s="6"/>
      <c r="EX39" s="6"/>
      <c r="EY39" s="6"/>
      <c r="EZ39" s="6"/>
      <c r="FA39" s="32"/>
      <c r="FB39" s="6"/>
      <c r="FC39" s="6"/>
      <c r="FD39" s="6"/>
      <c r="FE39" s="6"/>
      <c r="FF39" s="6"/>
      <c r="FG39" s="6"/>
      <c r="FH39" s="6"/>
      <c r="FI39" s="6"/>
      <c r="FJ39" s="6"/>
      <c r="FK39" s="6"/>
      <c r="FL39" s="6"/>
      <c r="FM39" s="6"/>
      <c r="FN39" s="6"/>
      <c r="FO39" s="6"/>
      <c r="FP39" s="6"/>
      <c r="FQ39" s="14"/>
      <c r="FR39" s="14"/>
      <c r="FS39" s="17"/>
      <c r="FT39" s="7"/>
      <c r="FU39" s="6"/>
      <c r="FV39" s="6"/>
      <c r="FW39" s="6"/>
      <c r="FX39" s="6"/>
      <c r="FY39" s="6"/>
      <c r="FZ39" s="6"/>
      <c r="GA39" s="6"/>
      <c r="GB39" s="6"/>
      <c r="GC39" s="6"/>
      <c r="GD39" s="6"/>
      <c r="GE39" s="6"/>
      <c r="GF39" s="6"/>
      <c r="GG39" s="6"/>
      <c r="GH39" s="6"/>
      <c r="GI39" s="6"/>
      <c r="GJ39" s="6"/>
      <c r="GK39" s="11"/>
      <c r="GL39" s="6"/>
      <c r="GM39" s="6"/>
      <c r="GN39" s="6"/>
      <c r="GO39" s="6"/>
      <c r="GP39" s="6"/>
      <c r="GQ39" s="6"/>
      <c r="GR39" s="6"/>
      <c r="GS39" s="6"/>
      <c r="GT39" s="6"/>
      <c r="GU39" s="6"/>
      <c r="GV39" s="6"/>
      <c r="GW39" s="6"/>
      <c r="GX39" s="6"/>
      <c r="GY39" s="6"/>
      <c r="GZ39" s="6"/>
      <c r="HA39" s="6"/>
      <c r="HB39" s="6"/>
      <c r="HC39" s="8"/>
      <c r="HD39" s="6"/>
      <c r="HE39" s="6"/>
      <c r="HF39" s="6"/>
      <c r="HG39" s="6"/>
      <c r="HH39" s="6"/>
      <c r="HI39" s="6"/>
      <c r="HJ39" s="6"/>
      <c r="HK39" s="6"/>
      <c r="HL39" s="6"/>
      <c r="HM39" s="6"/>
      <c r="HN39" s="6"/>
      <c r="HO39" s="6"/>
      <c r="HP39" s="6"/>
      <c r="HQ39" s="6"/>
      <c r="HR39" s="6"/>
      <c r="HS39" s="14"/>
      <c r="HT39" s="14"/>
      <c r="HV39" s="6"/>
      <c r="HW39" s="6"/>
    </row>
    <row r="40" spans="1:231">
      <c r="A40" s="6"/>
      <c r="B40" s="7"/>
      <c r="C40" s="4"/>
      <c r="D40" s="65"/>
      <c r="E40" s="6"/>
      <c r="F40" s="6"/>
      <c r="G40" s="6"/>
      <c r="H40" s="6"/>
      <c r="I40" s="6"/>
      <c r="J40" s="6"/>
      <c r="K40" s="4"/>
      <c r="L40" s="6"/>
      <c r="M40" s="62"/>
      <c r="N40" s="7"/>
      <c r="O40" s="27"/>
      <c r="P40" s="66"/>
      <c r="S40" s="4"/>
      <c r="T40" s="6"/>
      <c r="U40" s="6"/>
      <c r="V40" s="6"/>
      <c r="W40" s="6"/>
      <c r="X40" s="6"/>
      <c r="Y40" s="6"/>
      <c r="Z40" s="6"/>
      <c r="AA40" s="6"/>
      <c r="AB40" s="6"/>
      <c r="AC40" s="6"/>
      <c r="AD40" s="6"/>
      <c r="AE40" s="39"/>
      <c r="AF40" s="6"/>
      <c r="AG40" s="6"/>
      <c r="AH40" s="6"/>
      <c r="AI40" s="6"/>
      <c r="AJ40" s="6"/>
      <c r="AK40" s="6"/>
      <c r="AL40" s="6"/>
      <c r="AM40" s="6"/>
      <c r="AN40" s="6"/>
      <c r="AO40" s="6"/>
      <c r="AP40" s="6"/>
      <c r="AQ40" s="6"/>
      <c r="AR40" s="6"/>
      <c r="AS40" s="6"/>
      <c r="AT40" s="6"/>
      <c r="AU40" s="6"/>
      <c r="AV40" s="6"/>
      <c r="AW40" s="40"/>
      <c r="BA40" s="36"/>
      <c r="BE40" s="36"/>
      <c r="BI40" s="36"/>
      <c r="BL40" s="36"/>
      <c r="BM40" s="33"/>
      <c r="CY40" s="32"/>
      <c r="DN40" s="36"/>
      <c r="DO40" s="33"/>
    </row>
    <row r="41" spans="1:231">
      <c r="A41" s="6"/>
      <c r="B41" s="7"/>
      <c r="C41" s="6"/>
      <c r="D41" s="65"/>
      <c r="E41" s="6"/>
      <c r="F41" s="6"/>
      <c r="G41" s="6"/>
      <c r="H41" s="4"/>
      <c r="I41" s="6"/>
      <c r="J41" s="6"/>
      <c r="K41" s="6"/>
      <c r="L41" s="6"/>
      <c r="M41" s="6"/>
      <c r="N41" s="7"/>
      <c r="O41" s="27"/>
      <c r="P41" s="66"/>
      <c r="Q41" s="66"/>
      <c r="R41" s="6"/>
      <c r="S41" s="4"/>
      <c r="T41" s="6"/>
      <c r="U41" s="6"/>
      <c r="V41" s="6"/>
      <c r="W41" s="6"/>
      <c r="X41" s="6"/>
      <c r="Y41" s="6"/>
      <c r="Z41" s="6"/>
      <c r="AA41" s="6"/>
      <c r="AB41" s="6"/>
      <c r="AC41" s="6"/>
      <c r="AD41" s="6"/>
      <c r="AE41" s="39"/>
      <c r="AF41" s="6"/>
      <c r="AG41" s="6"/>
      <c r="AH41" s="6"/>
      <c r="AI41" s="6"/>
      <c r="AJ41" s="6"/>
      <c r="AK41" s="6"/>
      <c r="AL41" s="6"/>
      <c r="AM41" s="6"/>
      <c r="AN41" s="6"/>
      <c r="AO41" s="6"/>
      <c r="AP41" s="6"/>
      <c r="AQ41" s="6"/>
      <c r="AR41" s="6"/>
      <c r="AS41" s="6"/>
      <c r="AT41" s="6"/>
      <c r="AU41" s="6"/>
      <c r="AV41" s="6"/>
      <c r="AW41" s="40"/>
      <c r="BA41" s="36"/>
      <c r="BE41" s="36"/>
      <c r="BI41" s="36"/>
      <c r="BL41" s="36"/>
      <c r="BM41" s="33"/>
      <c r="BN41" s="14"/>
      <c r="BO41" s="18"/>
      <c r="BP41" s="7"/>
      <c r="BQ41" s="6"/>
      <c r="BR41" s="6"/>
      <c r="BS41" s="6"/>
      <c r="BT41" s="6"/>
      <c r="BU41" s="6"/>
      <c r="BV41" s="6"/>
      <c r="BW41" s="6"/>
      <c r="BX41" s="6"/>
      <c r="BY41" s="6"/>
      <c r="BZ41" s="6"/>
      <c r="CA41" s="6"/>
      <c r="CB41" s="6"/>
      <c r="CC41" s="6"/>
      <c r="CD41" s="6"/>
      <c r="CE41" s="6"/>
      <c r="CF41" s="6"/>
      <c r="CG41" s="11"/>
      <c r="CH41" s="6"/>
      <c r="CI41" s="6"/>
      <c r="CJ41" s="6"/>
      <c r="CK41" s="6"/>
      <c r="CL41" s="6"/>
      <c r="CM41" s="6"/>
      <c r="CN41" s="6"/>
      <c r="CO41" s="6"/>
      <c r="CP41" s="6"/>
      <c r="CQ41" s="6"/>
      <c r="CR41" s="6"/>
      <c r="CS41" s="6"/>
      <c r="CT41" s="6"/>
      <c r="CU41" s="6"/>
      <c r="CV41" s="6"/>
      <c r="CW41" s="6"/>
      <c r="CX41" s="6"/>
      <c r="CY41" s="32"/>
      <c r="DN41" s="36"/>
      <c r="DO41" s="33"/>
      <c r="DP41" s="14"/>
      <c r="DQ41" s="17"/>
      <c r="DR41" s="7"/>
      <c r="DS41" s="6"/>
      <c r="DT41" s="6"/>
      <c r="DU41" s="6"/>
      <c r="DV41" s="6"/>
      <c r="DW41" s="6"/>
      <c r="DX41" s="6"/>
      <c r="DY41" s="6"/>
      <c r="DZ41" s="6"/>
      <c r="EA41" s="6"/>
      <c r="EB41" s="6"/>
      <c r="EC41" s="6"/>
      <c r="ED41" s="6"/>
      <c r="EE41" s="6"/>
      <c r="EF41" s="6"/>
      <c r="EG41" s="6"/>
      <c r="EH41" s="6"/>
      <c r="EI41" s="11"/>
      <c r="EJ41" s="6"/>
      <c r="EK41" s="6"/>
      <c r="EL41" s="6"/>
      <c r="EM41" s="6"/>
      <c r="EN41" s="6"/>
      <c r="EO41" s="6"/>
      <c r="EP41" s="6"/>
      <c r="EQ41" s="6"/>
      <c r="ER41" s="6"/>
      <c r="ES41" s="6"/>
      <c r="ET41" s="6"/>
      <c r="EU41" s="6"/>
      <c r="EV41" s="6"/>
      <c r="EW41" s="6"/>
      <c r="EX41" s="6"/>
      <c r="EY41" s="6"/>
      <c r="EZ41" s="6"/>
      <c r="FA41" s="8"/>
      <c r="FB41" s="6"/>
      <c r="FC41" s="6"/>
      <c r="FD41" s="6"/>
      <c r="FE41" s="6"/>
      <c r="FF41" s="6"/>
      <c r="FG41" s="6"/>
      <c r="FH41" s="6"/>
      <c r="FI41" s="6"/>
      <c r="FJ41" s="6"/>
      <c r="FK41" s="6"/>
      <c r="FL41" s="6"/>
      <c r="FM41" s="6"/>
      <c r="FN41" s="6"/>
      <c r="FO41" s="6"/>
      <c r="FP41" s="6"/>
      <c r="FQ41" s="14"/>
      <c r="FR41" s="14"/>
      <c r="FS41" s="17"/>
      <c r="FT41" s="7"/>
      <c r="FU41" s="6"/>
      <c r="FV41" s="6"/>
      <c r="FW41" s="6"/>
      <c r="FX41" s="6"/>
      <c r="FY41" s="6"/>
      <c r="FZ41" s="6"/>
      <c r="GA41" s="6"/>
      <c r="GB41" s="6"/>
      <c r="GC41" s="6"/>
      <c r="GD41" s="6"/>
      <c r="GE41" s="6"/>
      <c r="GF41" s="6"/>
      <c r="GG41" s="6"/>
      <c r="GH41" s="6"/>
      <c r="GI41" s="6"/>
      <c r="GJ41" s="6"/>
      <c r="GK41" s="11"/>
      <c r="GL41" s="6"/>
      <c r="GM41" s="6"/>
      <c r="GN41" s="6"/>
      <c r="GO41" s="6"/>
      <c r="GP41" s="6"/>
      <c r="GQ41" s="6"/>
      <c r="GR41" s="6"/>
      <c r="GS41" s="6"/>
      <c r="GT41" s="6"/>
      <c r="GU41" s="6"/>
      <c r="GV41" s="6"/>
      <c r="GW41" s="6"/>
      <c r="GX41" s="6"/>
      <c r="GY41" s="6"/>
      <c r="GZ41" s="6"/>
      <c r="HA41" s="6"/>
      <c r="HB41" s="6"/>
      <c r="HC41" s="8"/>
      <c r="HD41" s="6"/>
      <c r="HE41" s="6"/>
      <c r="HF41" s="6"/>
      <c r="HG41" s="6"/>
      <c r="HH41" s="6"/>
      <c r="HI41" s="6"/>
      <c r="HJ41" s="6"/>
      <c r="HK41" s="6"/>
      <c r="HL41" s="6"/>
      <c r="HM41" s="6"/>
      <c r="HN41" s="6"/>
      <c r="HO41" s="6"/>
      <c r="HP41" s="6"/>
      <c r="HQ41" s="6"/>
      <c r="HR41" s="6"/>
      <c r="HS41" s="14"/>
      <c r="HT41" s="14"/>
      <c r="HV41" s="6"/>
      <c r="HW41" s="6"/>
    </row>
    <row r="42" spans="1:231">
      <c r="A42" s="6"/>
      <c r="B42" s="7"/>
      <c r="C42" s="6"/>
      <c r="D42" s="65"/>
      <c r="E42" s="6"/>
      <c r="F42" s="6"/>
      <c r="G42" s="6"/>
      <c r="H42" s="4"/>
      <c r="I42" s="6"/>
      <c r="J42" s="6"/>
      <c r="K42" s="6"/>
      <c r="L42" s="6"/>
      <c r="M42" s="6"/>
      <c r="N42" s="7"/>
      <c r="O42" s="27"/>
      <c r="P42" s="66"/>
      <c r="Q42" s="66"/>
      <c r="R42" s="6"/>
      <c r="S42" s="6"/>
      <c r="T42" s="6"/>
      <c r="U42" s="6"/>
      <c r="V42" s="6"/>
      <c r="W42" s="6"/>
      <c r="X42" s="6"/>
      <c r="Y42" s="6"/>
      <c r="Z42" s="6"/>
      <c r="AA42" s="6"/>
      <c r="AB42" s="6"/>
      <c r="AC42" s="6"/>
      <c r="AD42" s="6"/>
      <c r="AE42" s="39"/>
      <c r="AF42" s="6"/>
      <c r="AG42" s="6"/>
      <c r="AH42" s="6"/>
      <c r="AI42" s="6"/>
      <c r="AJ42" s="6"/>
      <c r="AK42" s="6"/>
      <c r="AL42" s="6"/>
      <c r="AM42" s="6"/>
      <c r="AN42" s="6"/>
      <c r="AO42" s="6"/>
      <c r="AP42" s="6"/>
      <c r="AQ42" s="6"/>
      <c r="AR42" s="6"/>
      <c r="AS42" s="6"/>
      <c r="AT42" s="6"/>
      <c r="AU42" s="6"/>
      <c r="AV42" s="6"/>
      <c r="AW42" s="40"/>
      <c r="BA42" s="36"/>
      <c r="BE42" s="36"/>
      <c r="BI42" s="36"/>
      <c r="BL42" s="36"/>
      <c r="BM42" s="33"/>
      <c r="BN42" s="14"/>
      <c r="BO42" s="17"/>
      <c r="BP42" s="7"/>
      <c r="BQ42" s="6"/>
      <c r="BR42" s="6"/>
      <c r="BS42" s="6"/>
      <c r="BT42" s="6"/>
      <c r="BU42" s="6"/>
      <c r="BV42" s="6"/>
      <c r="BW42" s="6"/>
      <c r="BX42" s="6"/>
      <c r="BY42" s="6"/>
      <c r="BZ42" s="6"/>
      <c r="CA42" s="6"/>
      <c r="CB42" s="6"/>
      <c r="CC42" s="6"/>
      <c r="CD42" s="6"/>
      <c r="CE42" s="6"/>
      <c r="CF42" s="6"/>
      <c r="CG42" s="11"/>
      <c r="CH42" s="6"/>
      <c r="CI42" s="6"/>
      <c r="CJ42" s="6"/>
      <c r="CK42" s="6"/>
      <c r="CL42" s="6"/>
      <c r="CM42" s="6"/>
      <c r="CN42" s="6"/>
      <c r="CO42" s="6"/>
      <c r="CP42" s="6"/>
      <c r="CQ42" s="6"/>
      <c r="CR42" s="6"/>
      <c r="CS42" s="6"/>
      <c r="CT42" s="6"/>
      <c r="CU42" s="6"/>
      <c r="CV42" s="6"/>
      <c r="CW42" s="6"/>
      <c r="CX42" s="6"/>
      <c r="CY42" s="32"/>
      <c r="DN42" s="36"/>
      <c r="DO42" s="33"/>
      <c r="DP42" s="14"/>
      <c r="DQ42" s="17"/>
      <c r="DR42" s="7"/>
      <c r="DS42" s="6"/>
      <c r="DT42" s="6"/>
      <c r="DU42" s="6"/>
      <c r="DV42" s="6"/>
      <c r="DW42" s="6"/>
      <c r="DX42" s="6"/>
      <c r="DY42" s="6"/>
      <c r="DZ42" s="6"/>
      <c r="EA42" s="6"/>
      <c r="EB42" s="6"/>
      <c r="EC42" s="6"/>
      <c r="ED42" s="6"/>
      <c r="EE42" s="6"/>
      <c r="EF42" s="6"/>
      <c r="EG42" s="6"/>
      <c r="EH42" s="6"/>
      <c r="EI42" s="11"/>
      <c r="EJ42" s="6"/>
      <c r="EK42" s="6"/>
      <c r="EL42" s="6"/>
      <c r="EM42" s="6"/>
      <c r="EN42" s="6"/>
      <c r="EO42" s="6"/>
      <c r="EP42" s="6"/>
      <c r="EQ42" s="6"/>
      <c r="ER42" s="6"/>
      <c r="ES42" s="6"/>
      <c r="ET42" s="6"/>
      <c r="EU42" s="6"/>
      <c r="EV42" s="6"/>
      <c r="EW42" s="6"/>
      <c r="EX42" s="6"/>
      <c r="EY42" s="6"/>
      <c r="EZ42" s="6"/>
      <c r="FA42" s="8"/>
      <c r="FB42" s="6"/>
      <c r="FC42" s="6"/>
      <c r="FD42" s="6"/>
      <c r="FE42" s="6"/>
      <c r="FF42" s="6"/>
      <c r="FG42" s="6"/>
      <c r="FH42" s="6"/>
      <c r="FI42" s="6"/>
      <c r="FJ42" s="6"/>
      <c r="FK42" s="6"/>
      <c r="FL42" s="6"/>
      <c r="FM42" s="6"/>
      <c r="FN42" s="6"/>
      <c r="FO42" s="6"/>
      <c r="FP42" s="6"/>
      <c r="FQ42" s="14"/>
      <c r="FR42" s="14"/>
      <c r="FS42" s="17"/>
      <c r="FT42" s="7"/>
      <c r="FU42" s="6"/>
      <c r="FV42" s="6"/>
      <c r="FW42" s="6"/>
      <c r="FX42" s="6"/>
      <c r="FY42" s="6"/>
      <c r="FZ42" s="6"/>
      <c r="GA42" s="6"/>
      <c r="GB42" s="6"/>
      <c r="GC42" s="6"/>
      <c r="GD42" s="6"/>
      <c r="GE42" s="6"/>
      <c r="GF42" s="6"/>
      <c r="GG42" s="6"/>
      <c r="GH42" s="6"/>
      <c r="GI42" s="6"/>
      <c r="GJ42" s="6"/>
      <c r="GK42" s="11"/>
      <c r="GL42" s="6"/>
      <c r="GM42" s="6"/>
      <c r="GN42" s="6"/>
      <c r="GO42" s="6"/>
      <c r="GP42" s="6"/>
      <c r="GQ42" s="6"/>
      <c r="GR42" s="6"/>
      <c r="GS42" s="6"/>
      <c r="GT42" s="6"/>
      <c r="GU42" s="6"/>
      <c r="GV42" s="6"/>
      <c r="GW42" s="6"/>
      <c r="GX42" s="6"/>
      <c r="GY42" s="6"/>
      <c r="GZ42" s="6"/>
      <c r="HA42" s="6"/>
      <c r="HB42" s="6"/>
      <c r="HC42" s="8"/>
      <c r="HD42" s="6"/>
      <c r="HE42" s="6"/>
      <c r="HF42" s="6"/>
      <c r="HG42" s="6"/>
      <c r="HH42" s="6"/>
      <c r="HI42" s="6"/>
      <c r="HJ42" s="6"/>
      <c r="HK42" s="6"/>
      <c r="HL42" s="6"/>
      <c r="HM42" s="6"/>
      <c r="HN42" s="6"/>
      <c r="HO42" s="6"/>
      <c r="HP42" s="6"/>
      <c r="HQ42" s="6"/>
      <c r="HR42" s="6"/>
      <c r="HS42" s="14"/>
      <c r="HT42" s="14"/>
      <c r="HV42" s="6"/>
      <c r="HW42" s="6"/>
    </row>
    <row r="43" spans="1:231">
      <c r="A43" s="6"/>
      <c r="B43" s="7"/>
      <c r="C43" s="6"/>
      <c r="D43" s="65"/>
      <c r="E43" s="6"/>
      <c r="F43" s="6"/>
      <c r="G43" s="6"/>
      <c r="H43" s="6"/>
      <c r="I43" s="6"/>
      <c r="J43" s="6"/>
      <c r="K43" s="6"/>
      <c r="L43" s="6"/>
      <c r="M43" s="6"/>
      <c r="N43" s="7"/>
      <c r="O43" s="27"/>
      <c r="P43" s="66"/>
      <c r="Q43" s="66"/>
      <c r="R43" s="6"/>
      <c r="S43" s="6"/>
      <c r="T43" s="6"/>
      <c r="U43" s="6"/>
      <c r="V43" s="6"/>
      <c r="W43" s="6"/>
      <c r="X43" s="6"/>
      <c r="Y43" s="6"/>
      <c r="Z43" s="6"/>
      <c r="AA43" s="6"/>
      <c r="AB43" s="6"/>
      <c r="AC43" s="6"/>
      <c r="AD43" s="6"/>
      <c r="AE43" s="39"/>
      <c r="AF43" s="6"/>
      <c r="AG43" s="6"/>
      <c r="AH43" s="6"/>
      <c r="AI43" s="6"/>
      <c r="AJ43" s="6"/>
      <c r="AK43" s="6"/>
      <c r="AL43" s="6"/>
      <c r="AM43" s="6"/>
      <c r="AN43" s="6"/>
      <c r="AO43" s="6"/>
      <c r="AP43" s="6"/>
      <c r="AQ43" s="6"/>
      <c r="AR43" s="6"/>
      <c r="AS43" s="6"/>
      <c r="AT43" s="6"/>
      <c r="AU43" s="6"/>
      <c r="AV43" s="6"/>
      <c r="AW43" s="40"/>
      <c r="BA43" s="36"/>
      <c r="BE43" s="36"/>
      <c r="BI43" s="36"/>
      <c r="BL43" s="36"/>
      <c r="BM43" s="33"/>
      <c r="BN43" s="15"/>
      <c r="BO43" s="18"/>
      <c r="BP43" s="7"/>
      <c r="BQ43" s="6"/>
      <c r="BR43" s="6"/>
      <c r="BS43" s="6"/>
      <c r="BT43" s="6"/>
      <c r="BU43" s="6"/>
      <c r="BV43" s="6"/>
      <c r="BW43" s="6"/>
      <c r="BX43" s="6"/>
      <c r="BY43" s="6"/>
      <c r="BZ43" s="6"/>
      <c r="CA43" s="6"/>
      <c r="CB43" s="6"/>
      <c r="CC43" s="6"/>
      <c r="CD43" s="6"/>
      <c r="CE43" s="6"/>
      <c r="CF43" s="6"/>
      <c r="CG43" s="11"/>
      <c r="CH43" s="6"/>
      <c r="CI43" s="6"/>
      <c r="CJ43" s="6"/>
      <c r="CK43" s="6"/>
      <c r="CL43" s="6"/>
      <c r="CM43" s="6"/>
      <c r="CN43" s="6"/>
      <c r="CO43" s="6"/>
      <c r="CP43" s="6"/>
      <c r="CQ43" s="6"/>
      <c r="CR43" s="6"/>
      <c r="CS43" s="6"/>
      <c r="CT43" s="6"/>
      <c r="CU43" s="6"/>
      <c r="CV43" s="6"/>
      <c r="CW43" s="6"/>
      <c r="CX43" s="6"/>
      <c r="CY43" s="8"/>
      <c r="DN43" s="36"/>
      <c r="DO43" s="33"/>
      <c r="DP43" s="14"/>
      <c r="DQ43" s="17"/>
      <c r="DR43" s="7"/>
      <c r="DS43" s="6"/>
      <c r="DT43" s="6"/>
      <c r="DU43" s="6"/>
      <c r="DV43" s="6"/>
      <c r="DW43" s="6"/>
      <c r="DX43" s="6"/>
      <c r="DY43" s="6"/>
      <c r="DZ43" s="6"/>
      <c r="EA43" s="6"/>
      <c r="EB43" s="6"/>
      <c r="EC43" s="6"/>
      <c r="ED43" s="6"/>
      <c r="EE43" s="6"/>
      <c r="EF43" s="6"/>
      <c r="EG43" s="6"/>
      <c r="EH43" s="6"/>
      <c r="EI43" s="11"/>
      <c r="EJ43" s="6"/>
      <c r="EK43" s="6"/>
      <c r="EL43" s="6"/>
      <c r="EM43" s="6"/>
      <c r="EN43" s="6"/>
      <c r="EO43" s="6"/>
      <c r="EP43" s="6"/>
      <c r="EQ43" s="6"/>
      <c r="ER43" s="6"/>
      <c r="ES43" s="6"/>
      <c r="ET43" s="6"/>
      <c r="EU43" s="6"/>
      <c r="EV43" s="6"/>
      <c r="EW43" s="6"/>
      <c r="EX43" s="6"/>
      <c r="EY43" s="6"/>
      <c r="EZ43" s="6"/>
      <c r="FA43" s="8"/>
      <c r="FB43" s="6"/>
      <c r="FC43" s="6"/>
      <c r="FD43" s="6"/>
      <c r="FE43" s="6"/>
      <c r="FF43" s="6"/>
      <c r="FG43" s="6"/>
      <c r="FH43" s="6"/>
      <c r="FI43" s="6"/>
      <c r="FJ43" s="6"/>
      <c r="FK43" s="6"/>
      <c r="FL43" s="6"/>
      <c r="FM43" s="6"/>
      <c r="FN43" s="6"/>
      <c r="FO43" s="6"/>
      <c r="FP43" s="6"/>
      <c r="FQ43" s="14"/>
      <c r="FR43" s="14"/>
      <c r="FS43" s="17"/>
      <c r="FT43" s="7"/>
      <c r="FU43" s="6"/>
      <c r="FV43" s="6"/>
      <c r="FW43" s="6"/>
      <c r="FX43" s="6"/>
      <c r="FY43" s="6"/>
      <c r="FZ43" s="6"/>
      <c r="GA43" s="6"/>
      <c r="GB43" s="6"/>
      <c r="GC43" s="6"/>
      <c r="GD43" s="6"/>
      <c r="GE43" s="6"/>
      <c r="GF43" s="6"/>
      <c r="GG43" s="6"/>
      <c r="GH43" s="6"/>
      <c r="GI43" s="6"/>
      <c r="GJ43" s="6"/>
      <c r="GK43" s="11"/>
      <c r="GL43" s="6"/>
      <c r="GM43" s="6"/>
      <c r="GN43" s="6"/>
      <c r="GO43" s="6"/>
      <c r="GP43" s="6"/>
      <c r="GQ43" s="6"/>
      <c r="GR43" s="6"/>
      <c r="GS43" s="6"/>
      <c r="GT43" s="6"/>
      <c r="GU43" s="6"/>
      <c r="GV43" s="6"/>
      <c r="GW43" s="6"/>
      <c r="GX43" s="6"/>
      <c r="GY43" s="6"/>
      <c r="GZ43" s="6"/>
      <c r="HA43" s="6"/>
      <c r="HB43" s="6"/>
      <c r="HC43" s="8"/>
      <c r="HD43" s="6"/>
      <c r="HE43" s="6"/>
      <c r="HF43" s="6"/>
      <c r="HG43" s="6"/>
      <c r="HH43" s="6"/>
      <c r="HI43" s="6"/>
      <c r="HJ43" s="6"/>
      <c r="HK43" s="6"/>
      <c r="HL43" s="6"/>
      <c r="HM43" s="6"/>
      <c r="HN43" s="6"/>
      <c r="HO43" s="6"/>
      <c r="HP43" s="6"/>
      <c r="HQ43" s="6"/>
      <c r="HR43" s="6"/>
      <c r="HS43" s="14"/>
      <c r="HT43" s="14"/>
      <c r="HV43" s="6"/>
      <c r="HW43" s="6"/>
    </row>
    <row r="44" spans="1:231">
      <c r="A44" s="6"/>
      <c r="B44" s="7"/>
      <c r="C44" s="6"/>
      <c r="D44" s="65"/>
      <c r="E44" s="6"/>
      <c r="F44" s="6"/>
      <c r="G44" s="6"/>
      <c r="H44" s="6"/>
      <c r="I44" s="6"/>
      <c r="J44" s="6"/>
      <c r="K44" s="6"/>
      <c r="L44" s="6"/>
      <c r="M44" s="6"/>
      <c r="N44" s="7"/>
      <c r="O44" s="27"/>
      <c r="P44" s="66"/>
      <c r="Q44" s="66"/>
      <c r="R44" s="6"/>
      <c r="S44" s="6"/>
      <c r="T44" s="6"/>
      <c r="U44" s="6"/>
      <c r="V44" s="6"/>
      <c r="W44" s="6"/>
      <c r="X44" s="6"/>
      <c r="Y44" s="6"/>
      <c r="Z44" s="6"/>
      <c r="AA44" s="6"/>
      <c r="AB44" s="6"/>
      <c r="AC44" s="6"/>
      <c r="AD44" s="6"/>
      <c r="AE44" s="11"/>
      <c r="AF44" s="6"/>
      <c r="AG44" s="6"/>
      <c r="AH44" s="6"/>
      <c r="AI44" s="6"/>
      <c r="AJ44" s="6"/>
      <c r="AK44" s="6"/>
      <c r="AL44" s="6"/>
      <c r="AM44" s="6"/>
      <c r="AN44" s="6"/>
      <c r="AO44" s="6"/>
      <c r="AP44" s="6"/>
      <c r="AQ44" s="6"/>
      <c r="AR44" s="6"/>
      <c r="AS44" s="6"/>
      <c r="AT44" s="6"/>
      <c r="AU44" s="6"/>
      <c r="AV44" s="6"/>
      <c r="AW44" s="40"/>
      <c r="BA44" s="36"/>
      <c r="BE44" s="36"/>
      <c r="BI44" s="36"/>
      <c r="BL44" s="36"/>
      <c r="BM44" s="33"/>
      <c r="BN44" s="15"/>
      <c r="BO44" s="18"/>
      <c r="BP44" s="7"/>
      <c r="BQ44" s="6"/>
      <c r="BR44" s="6"/>
      <c r="BS44" s="6"/>
      <c r="BT44" s="6"/>
      <c r="BU44" s="6"/>
      <c r="BV44" s="6"/>
      <c r="BW44" s="6"/>
      <c r="BX44" s="6"/>
      <c r="BY44" s="6"/>
      <c r="BZ44" s="6"/>
      <c r="CA44" s="6"/>
      <c r="CB44" s="6"/>
      <c r="CC44" s="6"/>
      <c r="CD44" s="6"/>
      <c r="CE44" s="6"/>
      <c r="CF44" s="6"/>
      <c r="CG44" s="11"/>
      <c r="CH44" s="6"/>
      <c r="CI44" s="6"/>
      <c r="CJ44" s="6"/>
      <c r="CK44" s="6"/>
      <c r="CL44" s="6"/>
      <c r="CM44" s="6"/>
      <c r="CN44" s="6"/>
      <c r="CO44" s="6"/>
      <c r="CP44" s="6"/>
      <c r="CQ44" s="6"/>
      <c r="CR44" s="6"/>
      <c r="CS44" s="6"/>
      <c r="CT44" s="6"/>
      <c r="CU44" s="6"/>
      <c r="CV44" s="6"/>
      <c r="CW44" s="6"/>
      <c r="CX44" s="6"/>
      <c r="CY44" s="8"/>
      <c r="DN44" s="36"/>
      <c r="DO44" s="33"/>
      <c r="DP44" s="14"/>
      <c r="DQ44" s="17"/>
      <c r="DR44" s="7"/>
      <c r="DS44" s="6"/>
      <c r="DT44" s="6"/>
      <c r="DU44" s="6"/>
      <c r="DV44" s="6"/>
      <c r="DW44" s="6"/>
      <c r="DX44" s="6"/>
      <c r="DY44" s="6"/>
      <c r="DZ44" s="6"/>
      <c r="EA44" s="6"/>
      <c r="EB44" s="6"/>
      <c r="EC44" s="6"/>
      <c r="ED44" s="6"/>
      <c r="EE44" s="6"/>
      <c r="EF44" s="6"/>
      <c r="EG44" s="6"/>
      <c r="EH44" s="6"/>
      <c r="EI44" s="11"/>
      <c r="EJ44" s="6"/>
      <c r="EK44" s="6"/>
      <c r="EL44" s="6"/>
      <c r="EM44" s="6"/>
      <c r="EN44" s="6"/>
      <c r="EO44" s="6"/>
      <c r="EP44" s="6"/>
      <c r="EQ44" s="6"/>
      <c r="ER44" s="6"/>
      <c r="ES44" s="6"/>
      <c r="ET44" s="6"/>
      <c r="EU44" s="6"/>
      <c r="EV44" s="6"/>
      <c r="EW44" s="6"/>
      <c r="EX44" s="6"/>
      <c r="EY44" s="6"/>
      <c r="EZ44" s="6"/>
      <c r="FA44" s="8"/>
      <c r="FB44" s="6"/>
      <c r="FC44" s="6"/>
      <c r="FD44" s="6"/>
      <c r="FE44" s="6"/>
      <c r="FF44" s="6"/>
      <c r="FG44" s="6"/>
      <c r="FH44" s="6"/>
      <c r="FI44" s="6"/>
      <c r="FJ44" s="6"/>
      <c r="FK44" s="6"/>
      <c r="FL44" s="6"/>
      <c r="FM44" s="6"/>
      <c r="FN44" s="6"/>
      <c r="FO44" s="6"/>
      <c r="FP44" s="6"/>
      <c r="FQ44" s="14"/>
      <c r="FR44" s="14"/>
      <c r="FS44" s="17"/>
      <c r="FT44" s="7"/>
      <c r="FU44" s="6"/>
      <c r="FV44" s="6"/>
      <c r="FW44" s="6"/>
      <c r="FX44" s="6"/>
      <c r="FY44" s="6"/>
      <c r="FZ44" s="6"/>
      <c r="GA44" s="6"/>
      <c r="GB44" s="6"/>
      <c r="GC44" s="6"/>
      <c r="GD44" s="6"/>
      <c r="GE44" s="6"/>
      <c r="GF44" s="6"/>
      <c r="GG44" s="6"/>
      <c r="GH44" s="6"/>
      <c r="GI44" s="6"/>
      <c r="GJ44" s="6"/>
      <c r="GK44" s="11"/>
      <c r="GL44" s="6"/>
      <c r="GM44" s="6"/>
      <c r="GN44" s="6"/>
      <c r="GO44" s="6"/>
      <c r="GP44" s="6"/>
      <c r="GQ44" s="6"/>
      <c r="GR44" s="6"/>
      <c r="GS44" s="6"/>
      <c r="GT44" s="6"/>
      <c r="GU44" s="6"/>
      <c r="GV44" s="6"/>
      <c r="GW44" s="6"/>
      <c r="GX44" s="6"/>
      <c r="GY44" s="6"/>
      <c r="GZ44" s="6"/>
      <c r="HA44" s="6"/>
      <c r="HB44" s="6"/>
      <c r="HC44" s="8"/>
      <c r="HD44" s="6"/>
      <c r="HE44" s="6"/>
      <c r="HF44" s="6"/>
      <c r="HG44" s="6"/>
      <c r="HH44" s="6"/>
      <c r="HI44" s="6"/>
      <c r="HJ44" s="6"/>
      <c r="HK44" s="6"/>
      <c r="HL44" s="6"/>
      <c r="HM44" s="6"/>
      <c r="HN44" s="6"/>
      <c r="HO44" s="6"/>
      <c r="HP44" s="6"/>
      <c r="HQ44" s="6"/>
      <c r="HR44" s="6"/>
      <c r="HS44" s="14"/>
      <c r="HT44" s="14"/>
      <c r="HV44" s="6"/>
      <c r="HW44" s="6"/>
    </row>
    <row r="45" spans="1:231">
      <c r="A45" s="6"/>
      <c r="B45" s="7"/>
      <c r="C45" s="6"/>
      <c r="D45" s="65"/>
      <c r="E45" s="6"/>
      <c r="F45" s="6"/>
      <c r="G45" s="6"/>
      <c r="H45" s="6"/>
      <c r="I45" s="6"/>
      <c r="J45" s="6"/>
      <c r="K45" s="6"/>
      <c r="L45" s="6"/>
      <c r="M45" s="6"/>
      <c r="N45" s="7"/>
      <c r="O45" s="27"/>
      <c r="P45" s="6"/>
      <c r="Q45" s="66"/>
      <c r="R45" s="6"/>
      <c r="S45" s="6"/>
      <c r="T45" s="6"/>
      <c r="U45" s="6"/>
      <c r="V45" s="6"/>
      <c r="W45" s="6"/>
      <c r="X45" s="6"/>
      <c r="Y45" s="6"/>
      <c r="Z45" s="6"/>
      <c r="AA45" s="6"/>
      <c r="AB45" s="6"/>
      <c r="AC45" s="6"/>
      <c r="AD45" s="6"/>
      <c r="AE45" s="11"/>
      <c r="AF45" s="6"/>
      <c r="AG45" s="6"/>
      <c r="AH45" s="6"/>
      <c r="AI45" s="6"/>
      <c r="AJ45" s="6"/>
      <c r="AK45" s="6"/>
      <c r="AL45" s="6"/>
      <c r="AM45" s="6"/>
      <c r="AN45" s="6"/>
      <c r="AO45" s="6"/>
      <c r="AP45" s="6"/>
      <c r="AQ45" s="6"/>
      <c r="AR45" s="6"/>
      <c r="AS45" s="6"/>
      <c r="AT45" s="6"/>
      <c r="AU45" s="6"/>
      <c r="AV45" s="6"/>
      <c r="AW45" s="40"/>
      <c r="BA45" s="36"/>
      <c r="BE45" s="36"/>
      <c r="BI45" s="36"/>
      <c r="BL45" s="36"/>
      <c r="BM45" s="33"/>
      <c r="BN45" s="14"/>
      <c r="BO45" s="17"/>
      <c r="BP45" s="7"/>
      <c r="BQ45" s="6"/>
      <c r="BR45" s="6"/>
      <c r="BS45" s="6"/>
      <c r="BT45" s="6"/>
      <c r="BU45" s="6"/>
      <c r="BV45" s="6"/>
      <c r="BW45" s="6"/>
      <c r="BX45" s="6"/>
      <c r="BY45" s="6"/>
      <c r="BZ45" s="6"/>
      <c r="CA45" s="6"/>
      <c r="CB45" s="6"/>
      <c r="CC45" s="6"/>
      <c r="CD45" s="6"/>
      <c r="CE45" s="6"/>
      <c r="CF45" s="6"/>
      <c r="CG45" s="11"/>
      <c r="CH45" s="6"/>
      <c r="CI45" s="6"/>
      <c r="CJ45" s="6"/>
      <c r="CK45" s="6"/>
      <c r="CL45" s="6"/>
      <c r="CM45" s="6"/>
      <c r="CN45" s="6"/>
      <c r="CO45" s="6"/>
      <c r="CP45" s="6"/>
      <c r="CQ45" s="6"/>
      <c r="CR45" s="6"/>
      <c r="CS45" s="6"/>
      <c r="CT45" s="6"/>
      <c r="CU45" s="6"/>
      <c r="CV45" s="6"/>
      <c r="CW45" s="6"/>
      <c r="CX45" s="6"/>
      <c r="CY45" s="8"/>
      <c r="DN45" s="36"/>
      <c r="DO45" s="33"/>
      <c r="DP45" s="14"/>
      <c r="DQ45" s="17"/>
      <c r="DR45" s="7"/>
      <c r="DS45" s="6"/>
      <c r="DT45" s="6"/>
      <c r="DU45" s="6"/>
      <c r="DV45" s="6"/>
      <c r="DW45" s="6"/>
      <c r="DX45" s="6"/>
      <c r="DY45" s="6"/>
      <c r="DZ45" s="6"/>
      <c r="EA45" s="6"/>
      <c r="EB45" s="6"/>
      <c r="EC45" s="6"/>
      <c r="ED45" s="6"/>
      <c r="EE45" s="6"/>
      <c r="EF45" s="6"/>
      <c r="EG45" s="6"/>
      <c r="EH45" s="6"/>
      <c r="EI45" s="11"/>
      <c r="EJ45" s="6"/>
      <c r="EK45" s="6"/>
      <c r="EL45" s="6"/>
      <c r="EM45" s="6"/>
      <c r="EN45" s="6"/>
      <c r="EO45" s="6"/>
      <c r="EP45" s="6"/>
      <c r="EQ45" s="6"/>
      <c r="ER45" s="6"/>
      <c r="ES45" s="6"/>
      <c r="ET45" s="6"/>
      <c r="EU45" s="6"/>
      <c r="EV45" s="6"/>
      <c r="EW45" s="6"/>
      <c r="EX45" s="6"/>
      <c r="EY45" s="6"/>
      <c r="EZ45" s="6"/>
      <c r="FA45" s="8"/>
      <c r="FB45" s="6"/>
      <c r="FC45" s="6"/>
      <c r="FD45" s="6"/>
      <c r="FE45" s="6"/>
      <c r="FF45" s="6"/>
      <c r="FG45" s="6"/>
      <c r="FH45" s="6"/>
      <c r="FI45" s="6"/>
      <c r="FJ45" s="6"/>
      <c r="FK45" s="6"/>
      <c r="FL45" s="6"/>
      <c r="FM45" s="6"/>
      <c r="FN45" s="6"/>
      <c r="FO45" s="6"/>
      <c r="FP45" s="6"/>
      <c r="FQ45" s="14"/>
      <c r="FR45" s="14"/>
      <c r="FS45" s="17"/>
      <c r="FT45" s="7"/>
      <c r="FU45" s="6"/>
      <c r="FV45" s="6"/>
      <c r="FW45" s="6"/>
      <c r="FX45" s="6"/>
      <c r="FY45" s="6"/>
      <c r="FZ45" s="6"/>
      <c r="GA45" s="6"/>
      <c r="GB45" s="6"/>
      <c r="GC45" s="6"/>
      <c r="GD45" s="6"/>
      <c r="GE45" s="6"/>
      <c r="GF45" s="6"/>
      <c r="GG45" s="6"/>
      <c r="GH45" s="6"/>
      <c r="GI45" s="6"/>
      <c r="GJ45" s="6"/>
      <c r="GK45" s="11"/>
      <c r="GL45" s="6"/>
      <c r="GM45" s="6"/>
      <c r="GN45" s="6"/>
      <c r="GO45" s="6"/>
      <c r="GP45" s="6"/>
      <c r="GQ45" s="6"/>
      <c r="GR45" s="6"/>
      <c r="GS45" s="6"/>
      <c r="GT45" s="6"/>
      <c r="GU45" s="6"/>
      <c r="GV45" s="6"/>
      <c r="GW45" s="6"/>
      <c r="GX45" s="6"/>
      <c r="GY45" s="6"/>
      <c r="GZ45" s="6"/>
      <c r="HA45" s="6"/>
      <c r="HB45" s="6"/>
      <c r="HC45" s="8"/>
      <c r="HD45" s="6"/>
      <c r="HE45" s="6"/>
      <c r="HF45" s="6"/>
      <c r="HG45" s="6"/>
      <c r="HH45" s="6"/>
      <c r="HI45" s="6"/>
      <c r="HJ45" s="6"/>
      <c r="HK45" s="6"/>
      <c r="HL45" s="6"/>
      <c r="HM45" s="6"/>
      <c r="HN45" s="6"/>
      <c r="HO45" s="6"/>
      <c r="HP45" s="6"/>
      <c r="HQ45" s="6"/>
      <c r="HR45" s="6"/>
      <c r="HS45" s="14"/>
      <c r="HT45" s="14"/>
      <c r="HV45" s="6"/>
      <c r="HW45" s="6"/>
    </row>
    <row r="46" spans="1:231">
      <c r="AW46" s="40"/>
      <c r="BA46" s="36"/>
      <c r="BE46" s="36"/>
      <c r="BI46" s="36"/>
      <c r="BL46" s="36"/>
      <c r="BM46" s="33"/>
      <c r="DN46" s="36"/>
      <c r="DO46" s="33"/>
    </row>
    <row r="47" spans="1:231">
      <c r="AW47" s="40"/>
      <c r="BA47" s="36"/>
      <c r="BE47" s="36"/>
      <c r="BL47" s="36"/>
      <c r="DN47" s="36"/>
      <c r="DO47" s="33"/>
    </row>
    <row r="48" spans="1:231">
      <c r="AW48" s="40"/>
      <c r="BA48" s="36"/>
      <c r="BE48" s="36"/>
      <c r="DN48" s="36"/>
    </row>
    <row r="49" spans="1:227">
      <c r="C49" s="26"/>
      <c r="D49" s="20"/>
      <c r="O49" s="4"/>
      <c r="AW49" s="40"/>
      <c r="BA49" s="36"/>
      <c r="BE49" s="36"/>
      <c r="DN49" s="36"/>
      <c r="FJ49" s="6"/>
      <c r="FK49" s="6"/>
      <c r="FL49" s="6"/>
      <c r="FM49" s="6"/>
      <c r="FN49" s="6"/>
      <c r="FO49" s="6"/>
      <c r="FP49" s="6"/>
      <c r="FQ49" s="14"/>
    </row>
    <row r="50" spans="1:227">
      <c r="D50" s="20"/>
      <c r="AW50" s="40"/>
      <c r="BE50" s="36"/>
      <c r="DN50" s="36"/>
      <c r="FJ50" s="6"/>
      <c r="FK50" s="6"/>
      <c r="FL50" s="6"/>
      <c r="FM50" s="6"/>
      <c r="FN50" s="6"/>
      <c r="FO50" s="6"/>
      <c r="FP50" s="6"/>
      <c r="FQ50" s="14"/>
    </row>
    <row r="51" spans="1:227">
      <c r="D51" s="20"/>
      <c r="AW51" s="40"/>
      <c r="BE51" s="36"/>
      <c r="DN51" s="36"/>
      <c r="FJ51" s="6"/>
      <c r="FK51" s="6"/>
      <c r="FL51" s="6"/>
      <c r="FM51" s="6"/>
      <c r="FN51" s="6"/>
      <c r="FO51" s="6"/>
      <c r="FP51" s="6"/>
      <c r="FQ51" s="14"/>
    </row>
    <row r="52" spans="1:227">
      <c r="D52" s="20"/>
      <c r="AW52" s="40"/>
      <c r="BE52" s="36"/>
      <c r="DN52" s="36"/>
      <c r="FJ52" s="6"/>
      <c r="FK52" s="6"/>
      <c r="FL52" s="6"/>
      <c r="FM52" s="6"/>
      <c r="FN52" s="6"/>
      <c r="FO52" s="6"/>
      <c r="FP52" s="6"/>
      <c r="FQ52" s="14"/>
    </row>
    <row r="53" spans="1:227">
      <c r="D53" s="20"/>
      <c r="AW53" s="40"/>
      <c r="DN53" s="36"/>
      <c r="FJ53" s="6"/>
      <c r="FK53" s="6"/>
      <c r="FL53" s="6"/>
      <c r="FM53" s="6"/>
      <c r="FN53" s="6"/>
      <c r="FO53" s="6"/>
      <c r="FP53" s="6"/>
      <c r="FQ53" s="14"/>
    </row>
    <row r="54" spans="1:227">
      <c r="D54" s="20"/>
      <c r="AW54" s="40"/>
      <c r="FJ54" s="6"/>
      <c r="FK54" s="6"/>
      <c r="FL54" s="6"/>
      <c r="FM54" s="6"/>
      <c r="FN54" s="6"/>
      <c r="FO54" s="6"/>
      <c r="FP54" s="6"/>
      <c r="FQ54" s="14"/>
    </row>
    <row r="55" spans="1:227">
      <c r="AW55" s="40"/>
      <c r="FJ55" s="6"/>
      <c r="FK55" s="6"/>
      <c r="FL55" s="6"/>
      <c r="FM55" s="6"/>
      <c r="FN55" s="6"/>
      <c r="FO55" s="6"/>
      <c r="FP55" s="6"/>
      <c r="FQ55" s="14"/>
    </row>
    <row r="56" spans="1:227">
      <c r="AW56" s="40"/>
      <c r="FJ56" s="6"/>
      <c r="FK56" s="6"/>
      <c r="FL56" s="6"/>
      <c r="FM56" s="6"/>
      <c r="FN56" s="6"/>
      <c r="FO56" s="6"/>
      <c r="FP56" s="6"/>
      <c r="FQ56" s="14"/>
    </row>
    <row r="57" spans="1:227">
      <c r="AW57" s="40"/>
      <c r="FJ57" s="6"/>
      <c r="FK57" s="6"/>
      <c r="FL57" s="6"/>
      <c r="FM57" s="6"/>
      <c r="FN57" s="6"/>
      <c r="FO57" s="6"/>
      <c r="FP57" s="6"/>
      <c r="FQ57" s="14"/>
    </row>
    <row r="58" spans="1:227">
      <c r="AW58" s="40"/>
      <c r="FJ58" s="6"/>
      <c r="FK58" s="6"/>
      <c r="FL58" s="6"/>
      <c r="FM58" s="6"/>
      <c r="FN58" s="6"/>
      <c r="FO58" s="6"/>
      <c r="FP58" s="6"/>
      <c r="FQ58" s="14"/>
    </row>
    <row r="59" spans="1:227">
      <c r="AW59" s="40"/>
      <c r="FJ59" s="6"/>
      <c r="FK59" s="6"/>
      <c r="FL59" s="6"/>
      <c r="FM59" s="6"/>
      <c r="FN59" s="6"/>
      <c r="FO59" s="6"/>
      <c r="FP59" s="6"/>
      <c r="FQ59" s="14"/>
    </row>
    <row r="60" spans="1:227">
      <c r="AW60" s="40"/>
      <c r="FJ60" s="6"/>
      <c r="FK60" s="6"/>
      <c r="FL60" s="6"/>
      <c r="FM60" s="6"/>
      <c r="FN60" s="6"/>
      <c r="FO60" s="6"/>
      <c r="FP60" s="6"/>
      <c r="FQ60" s="14"/>
    </row>
    <row r="61" spans="1:227">
      <c r="A61" s="24"/>
      <c r="B61" s="5"/>
      <c r="C61" s="4"/>
      <c r="D61" s="20"/>
      <c r="E61" s="4"/>
      <c r="F61" s="4"/>
      <c r="G61" s="4"/>
      <c r="H61" s="4"/>
      <c r="I61" s="4"/>
      <c r="J61" s="4"/>
      <c r="K61" s="4"/>
      <c r="L61" s="4"/>
      <c r="M61" s="4"/>
      <c r="N61" s="5"/>
      <c r="O61" s="4"/>
      <c r="P61" s="4"/>
      <c r="Q61" s="4"/>
      <c r="R61" s="4"/>
      <c r="S61" s="4"/>
      <c r="T61" s="4"/>
      <c r="U61" s="4"/>
      <c r="V61" s="4"/>
      <c r="W61" s="4"/>
      <c r="X61" s="4"/>
      <c r="Y61" s="4"/>
      <c r="Z61" s="4"/>
      <c r="AA61" s="4"/>
      <c r="AB61" s="4"/>
      <c r="AC61" s="4"/>
      <c r="AD61" s="4"/>
      <c r="AE61" s="39"/>
      <c r="AF61" s="4"/>
      <c r="AG61" s="4"/>
      <c r="AH61" s="4"/>
      <c r="AI61" s="4"/>
      <c r="AJ61" s="4"/>
      <c r="AK61" s="4"/>
      <c r="AL61" s="4"/>
      <c r="AM61" s="4"/>
      <c r="AN61" s="4"/>
      <c r="AO61" s="4"/>
      <c r="AP61" s="4"/>
      <c r="AQ61" s="4"/>
      <c r="AR61" s="4"/>
      <c r="AS61" s="4"/>
      <c r="AT61" s="4"/>
      <c r="AU61" s="4"/>
      <c r="AV61" s="4"/>
      <c r="AW61" s="40"/>
      <c r="BE61" s="36"/>
      <c r="BL61" s="36"/>
      <c r="BN61" s="15"/>
      <c r="BO61" s="18"/>
      <c r="BP61" s="5"/>
      <c r="BQ61" s="4"/>
      <c r="BR61" s="4"/>
      <c r="BS61" s="4"/>
      <c r="BT61" s="4"/>
      <c r="BU61" s="4"/>
      <c r="BV61" s="6"/>
      <c r="BW61" s="6"/>
      <c r="BX61" s="6"/>
      <c r="BY61" s="6"/>
      <c r="BZ61" s="6"/>
      <c r="CA61" s="6"/>
      <c r="CB61" s="6"/>
      <c r="CC61" s="6"/>
      <c r="CD61" s="6"/>
      <c r="CE61" s="6"/>
      <c r="CF61" s="6"/>
      <c r="CG61" s="11"/>
      <c r="CH61" s="6"/>
      <c r="CI61" s="6"/>
      <c r="CJ61" s="6"/>
      <c r="CK61" s="6"/>
      <c r="CL61" s="6"/>
      <c r="CM61" s="6"/>
      <c r="CN61" s="6"/>
      <c r="CO61" s="6"/>
      <c r="CP61" s="6"/>
      <c r="CQ61" s="6"/>
      <c r="CR61" s="6"/>
      <c r="CS61" s="6"/>
      <c r="CT61" s="6"/>
      <c r="CU61" s="6"/>
      <c r="CV61" s="6"/>
      <c r="CW61" s="6"/>
      <c r="CX61" s="6"/>
      <c r="CY61" s="8"/>
      <c r="DP61" s="15"/>
      <c r="DQ61" s="18"/>
      <c r="EI61" s="31"/>
      <c r="FA61" s="32"/>
      <c r="FB61" s="6"/>
      <c r="FC61" s="6"/>
      <c r="FD61" s="6"/>
      <c r="FE61" s="6"/>
      <c r="FF61" s="6"/>
      <c r="FG61" s="6"/>
      <c r="FH61" s="6"/>
      <c r="FI61" s="36"/>
      <c r="FJ61" s="6"/>
      <c r="FK61" s="6"/>
      <c r="FL61" s="6"/>
      <c r="FM61" s="36"/>
      <c r="FN61" s="6"/>
      <c r="FO61" s="6"/>
      <c r="FP61" s="6"/>
      <c r="FQ61" s="33"/>
      <c r="GK61" s="11"/>
      <c r="HC61" s="8"/>
      <c r="HK61" s="36"/>
      <c r="HO61" s="36"/>
      <c r="HS61" s="33"/>
    </row>
    <row r="62" spans="1:227">
      <c r="A62" s="24"/>
      <c r="B62" s="5"/>
      <c r="C62" s="22"/>
      <c r="D62" s="20"/>
      <c r="E62" s="4"/>
      <c r="F62" s="4"/>
      <c r="G62" s="4"/>
      <c r="H62" s="4"/>
      <c r="I62" s="4"/>
      <c r="J62" s="4"/>
      <c r="K62" s="4"/>
      <c r="L62" s="22"/>
      <c r="M62" s="22"/>
      <c r="N62" s="5"/>
      <c r="O62" s="4"/>
      <c r="P62" s="4"/>
      <c r="Q62" s="4"/>
      <c r="R62" s="4"/>
      <c r="S62" s="4"/>
      <c r="T62" s="4"/>
      <c r="U62" s="4"/>
      <c r="V62" s="4"/>
      <c r="W62" s="4"/>
      <c r="X62" s="4"/>
      <c r="Y62" s="4"/>
      <c r="Z62" s="4"/>
      <c r="AA62" s="4"/>
      <c r="AB62" s="4"/>
      <c r="AC62" s="4"/>
      <c r="AD62" s="4"/>
      <c r="AE62" s="12"/>
      <c r="AF62" s="4"/>
      <c r="AG62" s="4"/>
      <c r="AH62" s="4"/>
      <c r="AI62" s="4"/>
      <c r="AJ62" s="4"/>
      <c r="AK62" s="4"/>
      <c r="AL62" s="4"/>
      <c r="AM62" s="4"/>
      <c r="AN62" s="4"/>
      <c r="AO62" s="4"/>
      <c r="AP62" s="4"/>
      <c r="AQ62" s="4"/>
      <c r="AR62" s="4"/>
      <c r="AS62" s="4"/>
      <c r="AT62" s="4"/>
      <c r="AU62" s="4"/>
      <c r="AV62" s="4"/>
      <c r="AW62" s="40"/>
      <c r="BL62" s="36"/>
      <c r="BN62" s="15"/>
      <c r="BO62" s="18"/>
      <c r="BP62" s="5"/>
      <c r="BQ62" s="4"/>
      <c r="BR62" s="4"/>
      <c r="BS62" s="4"/>
      <c r="BT62" s="4"/>
      <c r="BU62" s="4"/>
      <c r="BV62" s="6"/>
      <c r="BW62" s="6"/>
      <c r="BX62" s="6"/>
      <c r="BY62" s="6"/>
      <c r="BZ62" s="6"/>
      <c r="CA62" s="6"/>
      <c r="CB62" s="6"/>
      <c r="CC62" s="6"/>
      <c r="CD62" s="6"/>
      <c r="CE62" s="6"/>
      <c r="CF62" s="6"/>
      <c r="CG62" s="11"/>
      <c r="CH62" s="6"/>
      <c r="CI62" s="6"/>
      <c r="CJ62" s="6"/>
      <c r="CK62" s="6"/>
      <c r="CL62" s="6"/>
      <c r="CM62" s="6"/>
      <c r="CN62" s="6"/>
      <c r="CO62" s="6"/>
      <c r="CP62" s="6"/>
      <c r="CQ62" s="6"/>
      <c r="CR62" s="6"/>
      <c r="CS62" s="6"/>
      <c r="CT62" s="6"/>
      <c r="CU62" s="6"/>
      <c r="CV62" s="6"/>
      <c r="CW62" s="6"/>
      <c r="CX62" s="6"/>
      <c r="CY62" s="8"/>
      <c r="DP62" s="15"/>
      <c r="DQ62" s="18"/>
      <c r="EI62" s="31"/>
      <c r="FA62" s="32"/>
      <c r="FB62" s="6"/>
      <c r="FC62" s="6"/>
      <c r="FD62" s="6"/>
      <c r="FE62" s="6"/>
      <c r="FF62" s="6"/>
      <c r="FG62" s="6"/>
      <c r="FH62" s="6"/>
      <c r="FI62" s="36"/>
      <c r="FJ62" s="6"/>
      <c r="FK62" s="6"/>
      <c r="FL62" s="6"/>
      <c r="FM62" s="36"/>
      <c r="FN62" s="6"/>
      <c r="FO62" s="6"/>
      <c r="FP62" s="6"/>
      <c r="FQ62" s="14"/>
      <c r="GK62" s="11"/>
      <c r="HC62" s="8"/>
      <c r="HK62" s="36"/>
      <c r="HO62" s="36"/>
    </row>
    <row r="63" spans="1:227">
      <c r="D63" s="20"/>
      <c r="S63" s="4"/>
      <c r="AE63" s="12"/>
      <c r="AW63" s="10"/>
      <c r="BL63" s="36"/>
      <c r="CY63" s="8"/>
      <c r="EI63" s="31"/>
      <c r="FA63" s="32"/>
      <c r="FI63" s="36"/>
      <c r="FJ63" s="6"/>
      <c r="FK63" s="6"/>
      <c r="FL63" s="6"/>
      <c r="FM63" s="36"/>
      <c r="FN63" s="6"/>
      <c r="FO63" s="6"/>
      <c r="FP63" s="6"/>
      <c r="FQ63" s="14"/>
      <c r="HO63" s="36"/>
    </row>
    <row r="64" spans="1:227">
      <c r="D64" s="20"/>
      <c r="S64" s="4"/>
      <c r="AE64" s="12"/>
      <c r="AW64" s="10"/>
      <c r="BL64" s="36"/>
      <c r="CY64" s="8"/>
      <c r="EI64" s="31"/>
      <c r="FI64" s="36"/>
      <c r="FJ64" s="6"/>
      <c r="FK64" s="6"/>
      <c r="FL64" s="6"/>
      <c r="FM64" s="36"/>
      <c r="FN64" s="6"/>
      <c r="FO64" s="6"/>
      <c r="FP64" s="6"/>
      <c r="FQ64" s="14"/>
      <c r="HO64" s="36"/>
    </row>
    <row r="65" spans="1:231">
      <c r="D65" s="20"/>
      <c r="AE65" s="12"/>
      <c r="AW65" s="10"/>
      <c r="BL65" s="36"/>
      <c r="CY65" s="8"/>
      <c r="EI65" s="31"/>
      <c r="FJ65" s="6"/>
      <c r="FK65" s="6"/>
      <c r="FL65" s="6"/>
      <c r="FM65" s="36"/>
      <c r="FN65" s="6"/>
      <c r="FO65" s="6"/>
      <c r="FP65" s="6"/>
      <c r="FQ65" s="14"/>
      <c r="HO65" s="36"/>
    </row>
    <row r="66" spans="1:231">
      <c r="A66" s="24"/>
      <c r="B66" s="5"/>
      <c r="C66" s="22"/>
      <c r="D66" s="20"/>
      <c r="E66" s="4"/>
      <c r="F66" s="6"/>
      <c r="G66" s="4"/>
      <c r="H66" s="4"/>
      <c r="I66" s="4"/>
      <c r="J66" s="4"/>
      <c r="K66" s="4"/>
      <c r="L66" s="4"/>
      <c r="M66" s="4"/>
      <c r="N66" s="5"/>
      <c r="O66" s="4"/>
      <c r="P66" s="4"/>
      <c r="Q66" s="4"/>
      <c r="R66" s="22"/>
      <c r="S66" s="4"/>
      <c r="T66" s="6"/>
      <c r="U66" s="6"/>
      <c r="V66" s="6"/>
      <c r="W66" s="6"/>
      <c r="X66" s="6"/>
      <c r="Y66" s="6"/>
      <c r="Z66" s="6"/>
      <c r="AA66" s="6"/>
      <c r="AB66" s="6"/>
      <c r="AC66" s="6"/>
      <c r="AD66" s="6"/>
      <c r="AE66" s="12"/>
      <c r="AF66" s="6"/>
      <c r="AG66" s="6"/>
      <c r="AH66" s="6"/>
      <c r="AI66" s="6"/>
      <c r="AJ66" s="6"/>
      <c r="AK66" s="6"/>
      <c r="AL66" s="6"/>
      <c r="AM66" s="6"/>
      <c r="AN66" s="6"/>
      <c r="AO66" s="6"/>
      <c r="AP66" s="6"/>
      <c r="AQ66" s="6"/>
      <c r="AR66" s="6"/>
      <c r="AS66" s="6"/>
      <c r="AT66" s="6"/>
      <c r="AU66" s="6"/>
      <c r="AV66" s="6"/>
      <c r="AW66" s="10"/>
      <c r="BL66" s="36"/>
      <c r="BN66" s="15"/>
      <c r="BO66" s="18"/>
      <c r="BP66" s="23"/>
      <c r="CG66" s="11"/>
      <c r="CH66" s="6"/>
      <c r="CI66" s="6"/>
      <c r="CJ66" s="6"/>
      <c r="CK66" s="6"/>
      <c r="CL66" s="6"/>
      <c r="CM66" s="6"/>
      <c r="CN66" s="6"/>
      <c r="CO66" s="6"/>
      <c r="CP66" s="6"/>
      <c r="CQ66" s="6"/>
      <c r="CR66" s="6"/>
      <c r="CS66" s="6"/>
      <c r="CT66" s="6"/>
      <c r="CU66" s="6"/>
      <c r="CV66" s="6"/>
      <c r="CW66" s="6"/>
      <c r="CX66" s="6"/>
      <c r="CY66" s="8"/>
      <c r="EI66" s="31"/>
      <c r="FA66" s="8"/>
      <c r="FB66" s="6"/>
      <c r="FC66" s="6"/>
      <c r="FD66" s="6"/>
      <c r="FE66" s="6"/>
      <c r="FF66" s="6"/>
      <c r="FG66" s="6"/>
      <c r="FH66" s="6"/>
      <c r="FI66" s="6"/>
      <c r="FJ66" s="6"/>
      <c r="FK66" s="6"/>
      <c r="FL66" s="6"/>
      <c r="FM66" s="36"/>
      <c r="FN66" s="6"/>
      <c r="FO66" s="6"/>
      <c r="FP66" s="6"/>
      <c r="FQ66" s="14"/>
      <c r="GK66" s="11"/>
      <c r="HC66" s="8"/>
      <c r="HO66" s="36"/>
    </row>
    <row r="67" spans="1:231">
      <c r="A67" s="24"/>
      <c r="B67" s="5"/>
      <c r="C67" s="4"/>
      <c r="D67" s="20"/>
      <c r="E67" s="6"/>
      <c r="F67" s="6"/>
      <c r="G67" s="4"/>
      <c r="H67" s="6"/>
      <c r="I67" s="4"/>
      <c r="J67" s="6"/>
      <c r="K67" s="4"/>
      <c r="L67" s="4"/>
      <c r="M67" s="4"/>
      <c r="N67" s="7"/>
      <c r="O67" s="6"/>
      <c r="P67" s="6"/>
      <c r="Q67" s="6"/>
      <c r="R67" s="4"/>
      <c r="S67" s="4"/>
      <c r="T67" s="6"/>
      <c r="U67" s="6"/>
      <c r="V67" s="6"/>
      <c r="W67" s="6"/>
      <c r="X67" s="6"/>
      <c r="Y67" s="6"/>
      <c r="Z67" s="6"/>
      <c r="AA67" s="6"/>
      <c r="AB67" s="6"/>
      <c r="AC67" s="6"/>
      <c r="AD67" s="6"/>
      <c r="AE67" s="12"/>
      <c r="AF67" s="6"/>
      <c r="AG67" s="6"/>
      <c r="AH67" s="6"/>
      <c r="AI67" s="6"/>
      <c r="AJ67" s="6"/>
      <c r="AK67" s="6"/>
      <c r="AL67" s="6"/>
      <c r="AM67" s="6"/>
      <c r="AN67" s="6"/>
      <c r="AO67" s="6"/>
      <c r="AP67" s="6"/>
      <c r="AQ67" s="6"/>
      <c r="AR67" s="6"/>
      <c r="AS67" s="6"/>
      <c r="AT67" s="6"/>
      <c r="AU67" s="6"/>
      <c r="AV67" s="6"/>
      <c r="AW67" s="10"/>
      <c r="BL67" s="36"/>
      <c r="BN67" s="14"/>
      <c r="BO67" s="18"/>
      <c r="BP67" s="7"/>
      <c r="BQ67" s="27"/>
      <c r="BR67" s="28"/>
      <c r="BS67" s="28"/>
      <c r="BT67" s="6"/>
      <c r="BU67" s="4"/>
      <c r="BV67" s="6"/>
      <c r="BW67" s="6"/>
      <c r="BX67" s="6"/>
      <c r="BY67" s="6"/>
      <c r="BZ67" s="6"/>
      <c r="CA67" s="6"/>
      <c r="CB67" s="6"/>
      <c r="CC67" s="6"/>
      <c r="CD67" s="6"/>
      <c r="CE67" s="6"/>
      <c r="CF67" s="6"/>
      <c r="CG67" s="11"/>
      <c r="CH67" s="6"/>
      <c r="CI67" s="6"/>
      <c r="CJ67" s="6"/>
      <c r="CK67" s="6"/>
      <c r="CL67" s="6"/>
      <c r="CM67" s="6"/>
      <c r="CN67" s="6"/>
      <c r="CO67" s="6"/>
      <c r="CP67" s="6"/>
      <c r="CQ67" s="6"/>
      <c r="CR67" s="6"/>
      <c r="CS67" s="6"/>
      <c r="CT67" s="6"/>
      <c r="CU67" s="6"/>
      <c r="CV67" s="6"/>
      <c r="CW67" s="6"/>
      <c r="CX67" s="6"/>
      <c r="CY67" s="8"/>
      <c r="DP67" s="15"/>
      <c r="DQ67" s="18"/>
      <c r="DR67" s="7"/>
      <c r="DS67" s="6"/>
      <c r="DT67" s="6"/>
      <c r="DU67" s="6"/>
      <c r="DV67" s="6"/>
      <c r="DW67" s="6"/>
      <c r="DX67" s="6"/>
      <c r="DY67" s="6"/>
      <c r="DZ67" s="6"/>
      <c r="EA67" s="6"/>
      <c r="EB67" s="6"/>
      <c r="EC67" s="6"/>
      <c r="ED67" s="6"/>
      <c r="EE67" s="6"/>
      <c r="EF67" s="6"/>
      <c r="EG67" s="6"/>
      <c r="EH67" s="6"/>
      <c r="EI67" s="31"/>
      <c r="EJ67" s="6"/>
      <c r="EK67" s="6"/>
      <c r="EL67" s="6"/>
      <c r="EM67" s="6"/>
      <c r="EN67" s="6"/>
      <c r="EO67" s="6"/>
      <c r="EP67" s="6"/>
      <c r="EQ67" s="6"/>
      <c r="ER67" s="6"/>
      <c r="ES67" s="6"/>
      <c r="ET67" s="6"/>
      <c r="EU67" s="6"/>
      <c r="EV67" s="6"/>
      <c r="EW67" s="6"/>
      <c r="EX67" s="6"/>
      <c r="EY67" s="6"/>
      <c r="EZ67" s="6"/>
      <c r="FA67" s="8"/>
      <c r="FB67" s="6"/>
      <c r="FC67" s="6"/>
      <c r="FD67" s="6"/>
      <c r="FE67" s="6"/>
      <c r="FF67" s="6"/>
      <c r="FG67" s="6"/>
      <c r="FH67" s="6"/>
      <c r="FI67" s="6"/>
      <c r="FJ67" s="6"/>
      <c r="FK67" s="6"/>
      <c r="FL67" s="6"/>
      <c r="FM67" s="36"/>
      <c r="FN67" s="6"/>
      <c r="FO67" s="6"/>
      <c r="FP67" s="6"/>
      <c r="FQ67" s="14"/>
      <c r="FR67" s="14"/>
      <c r="FS67" s="17"/>
      <c r="FT67" s="7"/>
      <c r="FU67" s="6"/>
      <c r="FV67" s="6"/>
      <c r="FW67" s="6"/>
      <c r="FX67" s="6"/>
      <c r="FY67" s="6"/>
      <c r="FZ67" s="6"/>
      <c r="GA67" s="6"/>
      <c r="GB67" s="6"/>
      <c r="GC67" s="6"/>
      <c r="GD67" s="6"/>
      <c r="GE67" s="6"/>
      <c r="GF67" s="6"/>
      <c r="GG67" s="6"/>
      <c r="GH67" s="6"/>
      <c r="GI67" s="6"/>
      <c r="GJ67" s="6"/>
      <c r="GK67" s="11"/>
      <c r="GL67" s="6"/>
      <c r="GM67" s="6"/>
      <c r="GN67" s="6"/>
      <c r="GO67" s="6"/>
      <c r="GP67" s="6"/>
      <c r="GQ67" s="6"/>
      <c r="GR67" s="6"/>
      <c r="GS67" s="6"/>
      <c r="GT67" s="6"/>
      <c r="GU67" s="6"/>
      <c r="GV67" s="6"/>
      <c r="GW67" s="6"/>
      <c r="GX67" s="6"/>
      <c r="GY67" s="6"/>
      <c r="GZ67" s="6"/>
      <c r="HA67" s="6"/>
      <c r="HB67" s="6"/>
      <c r="HC67" s="8"/>
      <c r="HD67" s="6"/>
      <c r="HE67" s="6"/>
      <c r="HF67" s="6"/>
      <c r="HG67" s="6"/>
      <c r="HH67" s="6"/>
      <c r="HI67" s="6"/>
      <c r="HJ67" s="6"/>
      <c r="HK67" s="6"/>
      <c r="HL67" s="6"/>
      <c r="HM67" s="6"/>
      <c r="HN67" s="6"/>
      <c r="HO67" s="36"/>
      <c r="HP67" s="6"/>
      <c r="HQ67" s="6"/>
      <c r="HR67" s="6"/>
      <c r="HS67" s="14"/>
      <c r="HT67" s="14"/>
      <c r="HV67" s="6"/>
      <c r="HW67" s="6"/>
    </row>
    <row r="68" spans="1:231">
      <c r="D68" s="20"/>
      <c r="O68" s="4"/>
      <c r="AW68" s="10"/>
      <c r="BL68" s="36"/>
      <c r="CY68" s="8"/>
      <c r="FJ68" s="6"/>
      <c r="FK68" s="6"/>
      <c r="FL68" s="6"/>
      <c r="FM68" s="6"/>
      <c r="FN68" s="6"/>
      <c r="FO68" s="6"/>
      <c r="FP68" s="6"/>
      <c r="FQ68" s="14"/>
      <c r="HO68" s="36"/>
    </row>
    <row r="69" spans="1:231">
      <c r="D69" s="20"/>
      <c r="O69" s="4"/>
      <c r="AW69" s="10"/>
      <c r="BL69" s="36"/>
      <c r="CY69" s="8"/>
      <c r="FJ69" s="6"/>
      <c r="FK69" s="6"/>
      <c r="FL69" s="6"/>
      <c r="FM69" s="6"/>
      <c r="FN69" s="6"/>
      <c r="FO69" s="6"/>
      <c r="FP69" s="6"/>
      <c r="FQ69" s="14"/>
      <c r="HO69" s="36"/>
    </row>
    <row r="70" spans="1:231">
      <c r="D70" s="20"/>
      <c r="O70" s="4"/>
      <c r="AW70" s="10"/>
      <c r="BL70" s="36"/>
      <c r="FJ70" s="6"/>
      <c r="FK70" s="6"/>
      <c r="FL70" s="6"/>
      <c r="FM70" s="6"/>
      <c r="FN70" s="6"/>
      <c r="FO70" s="6"/>
      <c r="FP70" s="6"/>
      <c r="FQ70" s="14"/>
      <c r="HO70" s="36"/>
    </row>
    <row r="71" spans="1:231">
      <c r="D71" s="20"/>
      <c r="O71" s="4"/>
      <c r="AW71" s="10"/>
      <c r="BL71" s="36"/>
      <c r="FJ71" s="6"/>
      <c r="FK71" s="6"/>
      <c r="FL71" s="6"/>
      <c r="FM71" s="6"/>
      <c r="FN71" s="6"/>
      <c r="FO71" s="6"/>
      <c r="FP71" s="6"/>
      <c r="FQ71" s="14"/>
      <c r="HO71" s="36"/>
    </row>
    <row r="72" spans="1:231">
      <c r="A72" s="14"/>
      <c r="B72" s="5"/>
      <c r="C72" s="25"/>
      <c r="D72" s="20"/>
      <c r="L72" s="4"/>
      <c r="M72" s="4"/>
      <c r="N72" s="5"/>
      <c r="O72" s="4"/>
      <c r="P72" s="4"/>
      <c r="Q72" s="4"/>
      <c r="R72" s="4"/>
      <c r="S72" s="4"/>
      <c r="AW72" s="10"/>
      <c r="BL72" s="36"/>
      <c r="FJ72" s="6"/>
      <c r="FK72" s="6"/>
      <c r="FL72" s="6"/>
      <c r="FM72" s="6"/>
      <c r="FN72" s="6"/>
      <c r="FO72" s="6"/>
      <c r="FP72" s="6"/>
      <c r="FQ72" s="14"/>
      <c r="HO72" s="36"/>
    </row>
    <row r="73" spans="1:231">
      <c r="A73" s="14"/>
      <c r="B73" s="5"/>
      <c r="C73" s="25"/>
      <c r="D73" s="20"/>
      <c r="L73" s="4"/>
      <c r="M73" s="4"/>
      <c r="N73" s="5"/>
      <c r="O73" s="4"/>
      <c r="P73" s="4"/>
      <c r="Q73" s="4"/>
      <c r="R73" s="4"/>
      <c r="AW73" s="10"/>
      <c r="BL73" s="36"/>
      <c r="FJ73" s="6"/>
      <c r="FK73" s="6"/>
      <c r="FL73" s="6"/>
      <c r="FM73" s="6"/>
      <c r="FN73" s="6"/>
      <c r="FO73" s="6"/>
      <c r="FP73" s="6"/>
      <c r="FQ73"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dc:creator>
  <cp:keywords/>
  <dc:description/>
  <cp:lastModifiedBy>amasm@clinic.cat</cp:lastModifiedBy>
  <cp:revision/>
  <dcterms:created xsi:type="dcterms:W3CDTF">2021-04-29T14:17:13Z</dcterms:created>
  <dcterms:modified xsi:type="dcterms:W3CDTF">2022-05-06T10:22:57Z</dcterms:modified>
  <cp:category/>
  <cp:contentStatus/>
</cp:coreProperties>
</file>